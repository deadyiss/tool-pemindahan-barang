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Stok - Movement Stock L" sheetId="1" state="visible" r:id="rId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5">
    <fill>
      <patternFill/>
    </fill>
    <fill>
      <patternFill patternType="gray125">
        <fgColor rgb="FFFFFFFF"/>
        <bgColor rgb="FF000000"/>
      </patternFill>
    </fill>
    <fill>
      <patternFill patternType="solid">
        <fgColor rgb="00D9D9D9"/>
        <bgColor rgb="FF000000"/>
      </patternFill>
    </fill>
    <fill>
      <patternFill patternType="solid">
        <fgColor rgb="0092CDDC"/>
        <bgColor rgb="FF000000"/>
      </patternFill>
    </fill>
    <fill>
      <patternFill patternType="solid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" fillId="4" borderId="1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7"/>
  <sheetViews>
    <sheetView showGridLines="1" showRowColHeaders="1" tabSelected="1" workbookViewId="0">
      <selection activeCell="A937" sqref="A937"/>
    </sheetView>
  </sheetViews>
  <sheetFormatPr baseColWidth="8" defaultRowHeight="14.4" outlineLevelRow="0"/>
  <cols>
    <col width="48.273926" bestFit="1" customWidth="1" min="2" max="2"/>
    <col width="10.568848" bestFit="1" customWidth="1" min="3" max="3"/>
    <col width="11.711426" bestFit="1" customWidth="1" min="4" max="4"/>
    <col width="9.283447000000001" bestFit="1" customWidth="1" min="5" max="5"/>
    <col width="6.998291" bestFit="1" customWidth="1" min="6" max="6"/>
    <col width="13.996582" bestFit="1" customWidth="1" min="7" max="7"/>
    <col width="11.711426" bestFit="1" customWidth="1" min="8" max="8"/>
    <col width="15.281982" bestFit="1" customWidth="1" min="9" max="9"/>
    <col width="6.998291" bestFit="1" customWidth="1" min="10" max="10"/>
    <col width="13.996582" bestFit="1" customWidth="1" min="11" max="11"/>
    <col width="12.854004" bestFit="1" customWidth="1" min="12" max="12"/>
    <col width="9.1" bestFit="1" customWidth="1" min="13" max="13"/>
  </cols>
  <sheetData>
    <row r="1">
      <c r="A1" s="1" t="inlineStr">
        <is>
          <t>Laporan Stok - Movement Stock</t>
        </is>
      </c>
    </row>
    <row r="2">
      <c r="A2" s="1" t="inlineStr">
        <is>
          <t>Cabang : LIBRA STORE LOSARI</t>
        </is>
      </c>
    </row>
    <row r="3">
      <c r="A3" s="1" t="inlineStr">
        <is>
          <t>Alamat : Perum Alma Regency Mojokerto, Jl. Balai Desa, RT.15 RW03, Losari Timur, Sidoharjo, Kec. Gedeg, Kabupaten Mojokerto</t>
        </is>
      </c>
    </row>
    <row r="4">
      <c r="A4" s="1" t="inlineStr">
        <is>
          <t>Periode : 01/09/2026 - 01/09/2026</t>
        </is>
      </c>
    </row>
    <row r="5">
      <c r="A5" s="1" t="n"/>
    </row>
    <row r="7">
      <c r="A7" s="2" t="inlineStr">
        <is>
          <t>SKU</t>
        </is>
      </c>
      <c r="B7" s="2" t="inlineStr">
        <is>
          <t>Nama Barang</t>
        </is>
      </c>
      <c r="C7" s="2" t="inlineStr">
        <is>
          <t>Category</t>
        </is>
      </c>
      <c r="D7" s="2" t="inlineStr">
        <is>
          <t>Stok Awal</t>
        </is>
      </c>
      <c r="E7" s="2" t="inlineStr">
        <is>
          <t>Receive</t>
        </is>
      </c>
      <c r="F7" s="2" t="inlineStr">
        <is>
          <t>Retur</t>
        </is>
      </c>
      <c r="G7" s="2" t="inlineStr">
        <is>
          <t>Transfer In</t>
        </is>
      </c>
      <c r="H7" s="2" t="inlineStr">
        <is>
          <t>Penjualan</t>
        </is>
      </c>
      <c r="I7" s="2" t="inlineStr">
        <is>
          <t>Transfer Out</t>
        </is>
      </c>
      <c r="J7" s="2" t="inlineStr">
        <is>
          <t>Waste</t>
        </is>
      </c>
      <c r="K7" s="2" t="inlineStr">
        <is>
          <t>Penyesuaian</t>
        </is>
      </c>
      <c r="L7" s="2" t="inlineStr">
        <is>
          <t>Stok Akhir</t>
        </is>
      </c>
    </row>
    <row r="8">
      <c r="A8" s="3">
        <f>""</f>
        <v/>
      </c>
      <c r="B8" s="3" t="inlineStr">
        <is>
          <t>SLOKI</t>
        </is>
      </c>
      <c r="C8" s="3" t="inlineStr">
        <is>
          <t>SLOKI</t>
        </is>
      </c>
      <c r="D8" s="3" t="n">
        <v>149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149</v>
      </c>
    </row>
    <row r="9">
      <c r="A9" s="3">
        <f>"A01"</f>
        <v/>
      </c>
      <c r="B9" s="3" t="inlineStr">
        <is>
          <t>Anggur Premium</t>
        </is>
      </c>
      <c r="C9" s="3" t="inlineStr">
        <is>
          <t>ANGGUR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3">
        <f>"A02"</f>
        <v/>
      </c>
      <c r="B10" s="3" t="inlineStr">
        <is>
          <t>Anggur Merah Biasa 620ml</t>
        </is>
      </c>
      <c r="C10" s="3" t="inlineStr">
        <is>
          <t>ANGGUR</t>
        </is>
      </c>
      <c r="D10" s="3" t="n">
        <v>19</v>
      </c>
      <c r="E10" s="3" t="n">
        <v>0</v>
      </c>
      <c r="F10" s="3" t="n">
        <v>0</v>
      </c>
      <c r="G10" s="3" t="n">
        <v>0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19</v>
      </c>
    </row>
    <row r="11">
      <c r="A11" s="3">
        <f>"A03"</f>
        <v/>
      </c>
      <c r="B11" s="3" t="inlineStr">
        <is>
          <t>Anggur Merah Gold 620ml</t>
        </is>
      </c>
      <c r="C11" s="3" t="inlineStr">
        <is>
          <t>ANGGUR</t>
        </is>
      </c>
      <c r="D11" s="3" t="n">
        <v>11</v>
      </c>
      <c r="E11" s="3" t="n">
        <v>0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69</v>
      </c>
    </row>
    <row r="12">
      <c r="A12" s="3">
        <f>"A04"</f>
        <v/>
      </c>
      <c r="B12" s="3" t="inlineStr">
        <is>
          <t>Anggur Putih</t>
        </is>
      </c>
      <c r="C12" s="3" t="inlineStr">
        <is>
          <t>ANGGUR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3">
        <f>"A05"</f>
        <v/>
      </c>
      <c r="B13" s="3" t="inlineStr">
        <is>
          <t>Anggur Ketan Hitam</t>
        </is>
      </c>
      <c r="C13" s="3" t="inlineStr">
        <is>
          <t>ANGGUR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3">
        <f>"A06"</f>
        <v/>
      </c>
      <c r="B14" s="3" t="inlineStr">
        <is>
          <t>Anggur Kolesom Biasa 620ml</t>
        </is>
      </c>
      <c r="C14" s="3" t="inlineStr">
        <is>
          <t>ANGGUR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3">
        <f>"A07"</f>
        <v/>
      </c>
      <c r="B15" s="3" t="inlineStr">
        <is>
          <t>Anggur Kolesom Ungu 620ml</t>
        </is>
      </c>
      <c r="C15" s="3" t="inlineStr">
        <is>
          <t>ANGGUR</t>
        </is>
      </c>
      <c r="D15" s="3" t="n">
        <v>6</v>
      </c>
      <c r="E15" s="3" t="n">
        <v>0</v>
      </c>
      <c r="F15" s="3" t="n">
        <v>0</v>
      </c>
      <c r="G15" s="3" t="n">
        <v>0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6</v>
      </c>
    </row>
    <row r="16">
      <c r="A16" s="3">
        <f>"A08"</f>
        <v/>
      </c>
      <c r="B16" s="3" t="inlineStr">
        <is>
          <t>Anggur Malaga</t>
        </is>
      </c>
      <c r="C16" s="3" t="inlineStr">
        <is>
          <t>ANGGUR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3">
        <f>"A09"</f>
        <v/>
      </c>
      <c r="B17" s="3" t="inlineStr">
        <is>
          <t>Anggur Ginseng Intisari</t>
        </is>
      </c>
      <c r="C17" s="3" t="inlineStr">
        <is>
          <t>ANGGUR</t>
        </is>
      </c>
      <c r="D17" s="3" t="n">
        <v>12</v>
      </c>
      <c r="E17" s="3" t="n">
        <v>0</v>
      </c>
      <c r="F17" s="3" t="n">
        <v>0</v>
      </c>
      <c r="G17" s="3" t="n">
        <v>0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10</v>
      </c>
    </row>
    <row r="18">
      <c r="A18" s="3">
        <f>"A10"</f>
        <v/>
      </c>
      <c r="B18" s="3" t="inlineStr">
        <is>
          <t>Anggur Rhema</t>
        </is>
      </c>
      <c r="C18" s="3" t="inlineStr">
        <is>
          <t>ANGGUR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3">
        <f>"A11"</f>
        <v/>
      </c>
      <c r="B19" s="3" t="inlineStr">
        <is>
          <t>Anggur Barbara</t>
        </is>
      </c>
      <c r="C19" s="3" t="inlineStr">
        <is>
          <t>ANGGUR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3">
        <f>"A12"</f>
        <v/>
      </c>
      <c r="B20" s="3" t="inlineStr">
        <is>
          <t>Beras Kencur</t>
        </is>
      </c>
      <c r="C20" s="3" t="inlineStr">
        <is>
          <t>ANGGUR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3">
        <f>"A13"</f>
        <v/>
      </c>
      <c r="B21" s="3" t="inlineStr">
        <is>
          <t>Anggur Merah Cap Kijang</t>
        </is>
      </c>
      <c r="C21" s="3" t="inlineStr">
        <is>
          <t>ANGGUR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3">
        <f>"A14"</f>
        <v/>
      </c>
      <c r="B22" s="3" t="inlineStr">
        <is>
          <t>Alexis Anggur Merah</t>
        </is>
      </c>
      <c r="C22" s="3" t="inlineStr">
        <is>
          <t>ANGGUR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3">
        <f>"A15"</f>
        <v/>
      </c>
      <c r="B23" s="3" t="inlineStr">
        <is>
          <t>Alexis Anggur Hijau</t>
        </is>
      </c>
      <c r="C23" s="3" t="inlineStr">
        <is>
          <t>ANGGUR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3">
        <f>"A16"</f>
        <v/>
      </c>
      <c r="B24" s="3" t="inlineStr">
        <is>
          <t>Anggur Merah Kawa2 3ltr</t>
        </is>
      </c>
      <c r="C24" s="3" t="inlineStr">
        <is>
          <t>ANGGUR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3">
        <f>"A17"</f>
        <v/>
      </c>
      <c r="B25" s="3" t="inlineStr">
        <is>
          <t>Anggur Merah Kawa2 300ml</t>
        </is>
      </c>
      <c r="C25" s="3" t="inlineStr">
        <is>
          <t>ANGGUR</t>
        </is>
      </c>
      <c r="D25" s="3" t="n">
        <v>23</v>
      </c>
      <c r="E25" s="3" t="n">
        <v>0</v>
      </c>
      <c r="F25" s="3" t="n">
        <v>0</v>
      </c>
      <c r="G25" s="3" t="n">
        <v>0</v>
      </c>
      <c r="H25" s="3" t="n">
        <v>5</v>
      </c>
      <c r="I25" s="3" t="n">
        <v>0</v>
      </c>
      <c r="J25" s="3" t="n">
        <v>0</v>
      </c>
      <c r="K25" s="3" t="n">
        <v>0</v>
      </c>
      <c r="L25" s="3" t="n">
        <v>23</v>
      </c>
    </row>
    <row r="26">
      <c r="A26" s="3">
        <f>"A18"</f>
        <v/>
      </c>
      <c r="B26" s="3" t="inlineStr">
        <is>
          <t>Anggur Hijau API</t>
        </is>
      </c>
      <c r="C26" s="3" t="inlineStr">
        <is>
          <t>ANGGUR</t>
        </is>
      </c>
      <c r="D26" s="3" t="n">
        <v>84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82</v>
      </c>
    </row>
    <row r="27">
      <c r="A27" s="3">
        <f>"A19"</f>
        <v/>
      </c>
      <c r="B27" s="3" t="inlineStr">
        <is>
          <t>Anggur Hijau Intisari 620ml</t>
        </is>
      </c>
      <c r="C27" s="3" t="inlineStr">
        <is>
          <t>ANGGUR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3">
        <f>"A20"</f>
        <v/>
      </c>
      <c r="B28" s="3" t="inlineStr">
        <is>
          <t>Anggur Hijau Kawa2 600ml</t>
        </is>
      </c>
      <c r="C28" s="3" t="inlineStr">
        <is>
          <t>ANGGUR</t>
        </is>
      </c>
      <c r="D28" s="3" t="n">
        <v>228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228</v>
      </c>
    </row>
    <row r="29">
      <c r="A29" s="3">
        <f>"A21"</f>
        <v/>
      </c>
      <c r="B29" s="3" t="inlineStr">
        <is>
          <t>Anggur Congyang 330ml</t>
        </is>
      </c>
      <c r="C29" s="3" t="inlineStr">
        <is>
          <t>ANGGUR</t>
        </is>
      </c>
      <c r="D29" s="3" t="n">
        <v>22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22</v>
      </c>
    </row>
    <row r="30">
      <c r="A30" s="3">
        <f>"A22"</f>
        <v/>
      </c>
      <c r="B30" s="3" t="inlineStr">
        <is>
          <t>Anggur Hijau Joker</t>
        </is>
      </c>
      <c r="C30" s="3" t="inlineStr">
        <is>
          <t>ANGGUR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3">
        <f>"A23"</f>
        <v/>
      </c>
      <c r="B31" s="3" t="inlineStr">
        <is>
          <t>Anggur Merah Joker</t>
        </is>
      </c>
      <c r="C31" s="3" t="inlineStr">
        <is>
          <t>ANGGUR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3">
        <f>"A24"</f>
        <v/>
      </c>
      <c r="B32" s="3" t="inlineStr">
        <is>
          <t>Anggur Hijau Intisari 275ml</t>
        </is>
      </c>
      <c r="C32" s="3" t="inlineStr">
        <is>
          <t>ANGGUR</t>
        </is>
      </c>
      <c r="D32" s="3" t="n">
        <v>24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24</v>
      </c>
    </row>
    <row r="33">
      <c r="A33" s="3">
        <f>"A25"</f>
        <v/>
      </c>
      <c r="B33" s="3" t="inlineStr">
        <is>
          <t>Anggur Hijau MCDonald</t>
        </is>
      </c>
      <c r="C33" s="3" t="inlineStr">
        <is>
          <t>ANGGUR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3">
        <f>"A26"</f>
        <v/>
      </c>
      <c r="B34" s="3" t="inlineStr">
        <is>
          <t>Anggur Merah MCDonald</t>
        </is>
      </c>
      <c r="C34" s="3" t="inlineStr">
        <is>
          <t>ANGGUR</t>
        </is>
      </c>
      <c r="D34" s="3" t="n">
        <v>11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11</v>
      </c>
    </row>
    <row r="35">
      <c r="A35" s="3">
        <f>"A27"</f>
        <v/>
      </c>
      <c r="B35" s="3" t="inlineStr">
        <is>
          <t>Anggur Putih MCDonald</t>
        </is>
      </c>
      <c r="C35" s="3" t="inlineStr">
        <is>
          <t>ANGGUR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3">
        <f>"A28"</f>
        <v/>
      </c>
      <c r="B36" s="3" t="inlineStr">
        <is>
          <t>Anggur Merah Intisari 620ml</t>
        </is>
      </c>
      <c r="C36" s="3" t="inlineStr">
        <is>
          <t>ANGGUR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3">
        <f>"A29"</f>
        <v/>
      </c>
      <c r="B37" s="3" t="inlineStr">
        <is>
          <t>Anggur Merah Premium 620ml</t>
        </is>
      </c>
      <c r="C37" s="3" t="inlineStr">
        <is>
          <t>ANGGUR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3">
        <f>"A30"</f>
        <v/>
      </c>
      <c r="B38" s="3" t="inlineStr">
        <is>
          <t>Anggur Hijau Kawa2 300ml</t>
        </is>
      </c>
      <c r="C38" s="3" t="inlineStr">
        <is>
          <t>ANGGUR</t>
        </is>
      </c>
      <c r="D38" s="3" t="n">
        <v>22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22</v>
      </c>
    </row>
    <row r="39">
      <c r="A39" s="3">
        <f>"A31"</f>
        <v/>
      </c>
      <c r="B39" s="3" t="inlineStr">
        <is>
          <t>Anggur Merah Kawa2 600ml</t>
        </is>
      </c>
      <c r="C39" s="3" t="inlineStr">
        <is>
          <t>ANGGUR</t>
        </is>
      </c>
      <c r="D39" s="3" t="n">
        <v>11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11</v>
      </c>
    </row>
    <row r="40">
      <c r="A40" s="3">
        <f>"A32"</f>
        <v/>
      </c>
      <c r="B40" s="3" t="inlineStr">
        <is>
          <t>Anggur Hijau QRO 650ml</t>
        </is>
      </c>
      <c r="C40" s="3" t="inlineStr">
        <is>
          <t>ANGGUR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3">
        <f>"A33"</f>
        <v/>
      </c>
      <c r="B41" s="3" t="inlineStr">
        <is>
          <t>Anggur Rose Pink Atlas</t>
        </is>
      </c>
      <c r="C41" s="3" t="inlineStr">
        <is>
          <t>ANGGUR</t>
        </is>
      </c>
      <c r="D41" s="3" t="n">
        <v>32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32</v>
      </c>
    </row>
    <row r="42">
      <c r="A42" s="3">
        <f>"A34"</f>
        <v/>
      </c>
      <c r="B42" s="3" t="inlineStr">
        <is>
          <t>Anggur Hitam MCDonald</t>
        </is>
      </c>
      <c r="C42" s="3" t="inlineStr">
        <is>
          <t>ANGGUR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3">
        <f>"A35"</f>
        <v/>
      </c>
      <c r="B43" s="3" t="inlineStr">
        <is>
          <t>Anggur Blackcurrant Joker 600ml</t>
        </is>
      </c>
      <c r="C43" s="3" t="inlineStr">
        <is>
          <t>ANGGUR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3">
        <f>"A36"</f>
        <v/>
      </c>
      <c r="B44" s="3" t="inlineStr">
        <is>
          <t>Anggur Lychee Atlas</t>
        </is>
      </c>
      <c r="C44" s="3" t="inlineStr">
        <is>
          <t>ANGGUR</t>
        </is>
      </c>
      <c r="D44" s="3" t="n">
        <v>168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166</v>
      </c>
    </row>
    <row r="45">
      <c r="A45" s="3">
        <f>"A37"</f>
        <v/>
      </c>
      <c r="B45" s="3" t="inlineStr">
        <is>
          <t>Anggur Hijau Menjangan Mas</t>
        </is>
      </c>
      <c r="C45" s="3" t="inlineStr">
        <is>
          <t>ANGGUR</t>
        </is>
      </c>
      <c r="D45" s="3" t="n">
        <v>58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58</v>
      </c>
    </row>
    <row r="46">
      <c r="A46" s="3">
        <f>"A38"</f>
        <v/>
      </c>
      <c r="B46" s="3" t="inlineStr">
        <is>
          <t>Anggur Merah Menjangan Mas</t>
        </is>
      </c>
      <c r="C46" s="3" t="inlineStr">
        <is>
          <t>ANGGUR</t>
        </is>
      </c>
      <c r="D46" s="3" t="n">
        <v>11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11</v>
      </c>
    </row>
    <row r="47">
      <c r="A47" s="3">
        <f>"A39"</f>
        <v/>
      </c>
      <c r="B47" s="3" t="inlineStr">
        <is>
          <t>Anggur Lychee Qro Avici 650ml</t>
        </is>
      </c>
      <c r="C47" s="3" t="inlineStr">
        <is>
          <t>ANGGUR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3">
        <f>"A40"</f>
        <v/>
      </c>
      <c r="B48" s="3" t="inlineStr">
        <is>
          <t>Anggur Ungu MCDonald</t>
        </is>
      </c>
      <c r="C48" s="3" t="inlineStr">
        <is>
          <t>ANGGUR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3">
        <f>"A41"</f>
        <v/>
      </c>
      <c r="B49" s="3" t="inlineStr">
        <is>
          <t>Anggur Hijau ANI 580ml</t>
        </is>
      </c>
      <c r="C49" s="3" t="inlineStr">
        <is>
          <t>ANGGUR</t>
        </is>
      </c>
      <c r="D49" s="3" t="n">
        <v>12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12</v>
      </c>
    </row>
    <row r="50">
      <c r="A50" s="3">
        <f>"A42"</f>
        <v/>
      </c>
      <c r="B50" s="3" t="inlineStr">
        <is>
          <t>Anggur Merah ANI 580ml</t>
        </is>
      </c>
      <c r="C50" s="3" t="inlineStr">
        <is>
          <t>ANGGUR</t>
        </is>
      </c>
      <c r="D50" s="3" t="n">
        <v>23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23</v>
      </c>
    </row>
    <row r="51">
      <c r="A51" s="3">
        <f>"A43"</f>
        <v/>
      </c>
      <c r="B51" s="3" t="inlineStr">
        <is>
          <t>Anggur Merah QRO 650ml</t>
        </is>
      </c>
      <c r="C51" s="3" t="inlineStr">
        <is>
          <t>ANGGUR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3">
        <f>"A44"</f>
        <v/>
      </c>
      <c r="B52" s="3" t="inlineStr">
        <is>
          <t>Anggur Pink ANI 580ml</t>
        </is>
      </c>
      <c r="C52" s="3" t="inlineStr">
        <is>
          <t>ANGGUR</t>
        </is>
      </c>
      <c r="D52" s="3" t="n">
        <v>24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24</v>
      </c>
    </row>
    <row r="53">
      <c r="A53" s="3">
        <f>"A45"</f>
        <v/>
      </c>
      <c r="B53" s="3" t="inlineStr">
        <is>
          <t>Anggur Peach Atlas</t>
        </is>
      </c>
      <c r="C53" s="3" t="inlineStr">
        <is>
          <t>ANGGUR</t>
        </is>
      </c>
      <c r="D53" s="3" t="n">
        <v>46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46</v>
      </c>
    </row>
    <row r="54">
      <c r="A54" s="3">
        <f>"A46"</f>
        <v/>
      </c>
      <c r="B54" s="3" t="inlineStr">
        <is>
          <t>Anggur Rambutan Atlas</t>
        </is>
      </c>
      <c r="C54" s="3" t="inlineStr">
        <is>
          <t>ANGGUR</t>
        </is>
      </c>
      <c r="D54" s="3" t="n">
        <v>31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31</v>
      </c>
    </row>
    <row r="55">
      <c r="A55" s="3">
        <f>"A47"</f>
        <v/>
      </c>
      <c r="B55" s="3" t="inlineStr">
        <is>
          <t>Anggur Blackcurrant Kawa2 600ml</t>
        </is>
      </c>
      <c r="C55" s="3" t="inlineStr">
        <is>
          <t>ANGGUR</t>
        </is>
      </c>
      <c r="D55" s="3" t="n">
        <v>110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108</v>
      </c>
    </row>
    <row r="56">
      <c r="A56" s="3">
        <f>"A48"</f>
        <v/>
      </c>
      <c r="B56" s="3" t="inlineStr">
        <is>
          <t>Anggur Blackcurrant Intisari 620ml</t>
        </is>
      </c>
      <c r="C56" s="3" t="inlineStr">
        <is>
          <t>ANGGUR</t>
        </is>
      </c>
      <c r="D56" s="3" t="n">
        <v>58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58</v>
      </c>
    </row>
    <row r="57">
      <c r="A57" s="3">
        <f>"A49"</f>
        <v/>
      </c>
      <c r="B57" s="3" t="inlineStr">
        <is>
          <t>Anggur Lychee Ani 580ml</t>
        </is>
      </c>
      <c r="C57" s="3" t="inlineStr">
        <is>
          <t>ANGGUR</t>
        </is>
      </c>
      <c r="D57" s="3" t="n">
        <v>24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24</v>
      </c>
    </row>
    <row r="58">
      <c r="A58" s="3">
        <f>"A50"</f>
        <v/>
      </c>
      <c r="B58" s="3" t="inlineStr">
        <is>
          <t>Anggur Merah Biasa 250ml</t>
        </is>
      </c>
      <c r="C58" s="3" t="inlineStr">
        <is>
          <t>ANGGUR</t>
        </is>
      </c>
      <c r="D58" s="3" t="n">
        <v>22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22</v>
      </c>
    </row>
    <row r="59">
      <c r="A59" s="3">
        <f>"A51"</f>
        <v/>
      </c>
      <c r="B59" s="3" t="inlineStr">
        <is>
          <t>Anggur Merah Biasa 275ml</t>
        </is>
      </c>
      <c r="C59" s="3" t="inlineStr">
        <is>
          <t>ANGGUR</t>
        </is>
      </c>
      <c r="D59" s="3" t="n">
        <v>20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20</v>
      </c>
    </row>
    <row r="60">
      <c r="A60" s="3">
        <f>"A52"</f>
        <v/>
      </c>
      <c r="B60" s="3" t="inlineStr">
        <is>
          <t>Anggur Merah Gold 250ml</t>
        </is>
      </c>
      <c r="C60" s="3" t="inlineStr">
        <is>
          <t>ANGGUR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24</v>
      </c>
    </row>
    <row r="61">
      <c r="A61" s="3">
        <f>"A53"</f>
        <v/>
      </c>
      <c r="B61" s="3" t="inlineStr">
        <is>
          <t>Anggur Merah Gold 275ml</t>
        </is>
      </c>
      <c r="C61" s="3" t="inlineStr">
        <is>
          <t>ANGGUR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</v>
      </c>
    </row>
    <row r="62">
      <c r="A62" s="3">
        <f>"A54"</f>
        <v/>
      </c>
      <c r="B62" s="3" t="inlineStr">
        <is>
          <t>Anggur Hitam Intisari 620ml</t>
        </is>
      </c>
      <c r="C62" s="3" t="inlineStr">
        <is>
          <t>ANGGUR</t>
        </is>
      </c>
      <c r="D62" s="3" t="n">
        <v>24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24</v>
      </c>
    </row>
    <row r="63">
      <c r="A63" s="3">
        <f>"A55"</f>
        <v/>
      </c>
      <c r="B63" s="3" t="inlineStr">
        <is>
          <t>Anggur Mix QRO 650ml</t>
        </is>
      </c>
      <c r="C63" s="3" t="inlineStr">
        <is>
          <t>ANGGUR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3">
        <f>"A56"</f>
        <v/>
      </c>
      <c r="B64" s="3" t="inlineStr">
        <is>
          <t>Blackcurrant Black Panther 620ml</t>
        </is>
      </c>
      <c r="C64" s="3" t="inlineStr">
        <is>
          <t>ANGGUR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3">
        <f>"A57"</f>
        <v/>
      </c>
      <c r="B65" s="3" t="inlineStr">
        <is>
          <t>Bundling 1 ANI Merah X 1 ANI Hijau 580ml</t>
        </is>
      </c>
      <c r="C65" s="3" t="inlineStr">
        <is>
          <t>ANGGUR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3">
        <f>"A58"</f>
        <v/>
      </c>
      <c r="B66" s="3" t="inlineStr">
        <is>
          <t>Anggur Lychee MCDonald 600ml</t>
        </is>
      </c>
      <c r="C66" s="3" t="inlineStr">
        <is>
          <t>ANGGUR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3">
        <f>"A59"</f>
        <v/>
      </c>
      <c r="B67" s="3" t="inlineStr">
        <is>
          <t>Anggur Mapple Ani 580ml</t>
        </is>
      </c>
      <c r="C67" s="3" t="inlineStr">
        <is>
          <t>ANGGUR</t>
        </is>
      </c>
      <c r="D67" s="3" t="n">
        <v>10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10</v>
      </c>
    </row>
    <row r="68">
      <c r="A68" s="3">
        <f>"A60"</f>
        <v/>
      </c>
      <c r="B68" s="3" t="inlineStr">
        <is>
          <t>Anggur Congyang 620ml</t>
        </is>
      </c>
      <c r="C68" s="3" t="inlineStr">
        <is>
          <t>ANGGUR</t>
        </is>
      </c>
      <c r="D68" s="3" t="n">
        <v>22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22</v>
      </c>
    </row>
    <row r="69">
      <c r="A69" s="3">
        <f>"A61"</f>
        <v/>
      </c>
      <c r="B69" s="3" t="inlineStr">
        <is>
          <t>Anggur Blackcurrant Intisari 275ml</t>
        </is>
      </c>
      <c r="C69" s="3" t="inlineStr">
        <is>
          <t>ANGGUR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3">
        <f>"A62"</f>
        <v/>
      </c>
      <c r="B70" s="3" t="inlineStr">
        <is>
          <t>Anggur Blackcurrant Api 620ml</t>
        </is>
      </c>
      <c r="C70" s="3" t="inlineStr">
        <is>
          <t>ANGGUR</t>
        </is>
      </c>
      <c r="D70" s="3" t="n">
        <v>21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21</v>
      </c>
    </row>
    <row r="71">
      <c r="A71" s="3">
        <f>"A63"</f>
        <v/>
      </c>
      <c r="B71" s="3" t="inlineStr">
        <is>
          <t>Anggur Strawberry Atlas</t>
        </is>
      </c>
      <c r="C71" s="3" t="inlineStr">
        <is>
          <t>ANGGUR</t>
        </is>
      </c>
      <c r="D71" s="3" t="n">
        <v>44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44</v>
      </c>
    </row>
    <row r="72">
      <c r="A72" s="3">
        <f>"A64"</f>
        <v/>
      </c>
      <c r="B72" s="3" t="inlineStr">
        <is>
          <t>Anggur Kolesom Biasa 275ml</t>
        </is>
      </c>
      <c r="C72" s="3" t="inlineStr">
        <is>
          <t>ANGGUR</t>
        </is>
      </c>
      <c r="D72" s="3" t="n">
        <v>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6</v>
      </c>
    </row>
    <row r="73">
      <c r="A73" s="3">
        <f>"AKM01"</f>
        <v/>
      </c>
      <c r="B73" s="3" t="inlineStr">
        <is>
          <t>Anggur kuda mas</t>
        </is>
      </c>
      <c r="C73" s="3" t="inlineStr">
        <is>
          <t>ANGGUR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3">
        <f>"AR01"</f>
        <v/>
      </c>
      <c r="B74" s="3" t="inlineStr">
        <is>
          <t>Arak obat</t>
        </is>
      </c>
      <c r="C74" s="3" t="inlineStr">
        <is>
          <t>ARAK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3">
        <f>"AR02"</f>
        <v/>
      </c>
      <c r="B75" s="3" t="inlineStr">
        <is>
          <t>Arak Kilin</t>
        </is>
      </c>
      <c r="C75" s="3" t="inlineStr">
        <is>
          <t>ARAK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3">
        <f>"AR03"</f>
        <v/>
      </c>
      <c r="B76" s="3" t="inlineStr">
        <is>
          <t>Cap Tikus Original 320ml</t>
        </is>
      </c>
      <c r="C76" s="3" t="inlineStr">
        <is>
          <t>ARAK</t>
        </is>
      </c>
      <c r="D76" s="3" t="n">
        <v>3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3</v>
      </c>
    </row>
    <row r="77">
      <c r="A77" s="3">
        <f>"AR04"</f>
        <v/>
      </c>
      <c r="B77" s="3" t="inlineStr">
        <is>
          <t>Cap Tikus Coffe 320ml</t>
        </is>
      </c>
      <c r="C77" s="3" t="inlineStr">
        <is>
          <t>ARAK</t>
        </is>
      </c>
      <c r="D77" s="3" t="n">
        <v>3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3</v>
      </c>
    </row>
    <row r="78">
      <c r="A78" s="3">
        <f>"AR05"</f>
        <v/>
      </c>
      <c r="B78" s="3" t="inlineStr">
        <is>
          <t>Cap Tikus Original 700ml</t>
        </is>
      </c>
      <c r="C78" s="3" t="inlineStr">
        <is>
          <t>ARAK</t>
        </is>
      </c>
      <c r="D78" s="3" t="n">
        <v>3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4</v>
      </c>
    </row>
    <row r="79">
      <c r="A79" s="3">
        <f>"AR06"</f>
        <v/>
      </c>
      <c r="B79" s="3" t="inlineStr">
        <is>
          <t>Cap Tikus Coffe 700ml</t>
        </is>
      </c>
      <c r="C79" s="3" t="inlineStr">
        <is>
          <t>ARAK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3">
        <f>"AR07"</f>
        <v/>
      </c>
      <c r="B80" s="3" t="inlineStr">
        <is>
          <t>Arak Obat Mild 620ml</t>
        </is>
      </c>
      <c r="C80" s="3" t="inlineStr">
        <is>
          <t>ARAK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</row>
    <row r="81">
      <c r="A81" s="3">
        <f>"AR08"</f>
        <v/>
      </c>
      <c r="B81" s="3" t="inlineStr">
        <is>
          <t>Arak Obat Mild 275ml</t>
        </is>
      </c>
      <c r="C81" s="3" t="inlineStr">
        <is>
          <t>ARAK</t>
        </is>
      </c>
      <c r="D81" s="3" t="n">
        <v>24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24</v>
      </c>
    </row>
    <row r="82">
      <c r="A82" s="3">
        <f>"B01"</f>
        <v/>
      </c>
      <c r="B82" s="3" t="inlineStr">
        <is>
          <t>Singa Raja</t>
        </is>
      </c>
      <c r="C82" s="3" t="inlineStr">
        <is>
          <t>BEER</t>
        </is>
      </c>
      <c r="D82" s="3" t="n">
        <v>88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140</v>
      </c>
    </row>
    <row r="83">
      <c r="A83" s="3">
        <f>"B02"</f>
        <v/>
      </c>
      <c r="B83" s="3" t="inlineStr">
        <is>
          <t>Prost Beer Merah</t>
        </is>
      </c>
      <c r="C83" s="3" t="inlineStr">
        <is>
          <t>BEER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3">
        <f>"B03"</f>
        <v/>
      </c>
      <c r="B84" s="3" t="inlineStr">
        <is>
          <t>Prost Beer Biru</t>
        </is>
      </c>
      <c r="C84" s="3" t="inlineStr">
        <is>
          <t>BEER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3">
        <f>"B04"</f>
        <v/>
      </c>
      <c r="B85" s="3" t="inlineStr">
        <is>
          <t>Prost alster botol</t>
        </is>
      </c>
      <c r="C85" s="3" t="inlineStr">
        <is>
          <t>BEER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3">
        <f>"B05"</f>
        <v/>
      </c>
      <c r="B86" s="3" t="inlineStr">
        <is>
          <t>Konig Ludwig weissbier 330ml</t>
        </is>
      </c>
      <c r="C86" s="3" t="inlineStr">
        <is>
          <t>BEER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</row>
    <row r="87">
      <c r="A87" s="3">
        <f>"B06"</f>
        <v/>
      </c>
      <c r="B87" s="3" t="inlineStr">
        <is>
          <t>Konig Ludwig weissbier 500ml</t>
        </is>
      </c>
      <c r="C87" s="3" t="inlineStr">
        <is>
          <t>BEER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</row>
    <row r="88">
      <c r="A88" s="3">
        <f>"B07"</f>
        <v/>
      </c>
      <c r="B88" s="3" t="inlineStr">
        <is>
          <t>Apidin 330ml</t>
        </is>
      </c>
      <c r="C88" s="3" t="inlineStr">
        <is>
          <t>BEER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3">
        <f>"B09"</f>
        <v/>
      </c>
      <c r="B89" s="3" t="inlineStr">
        <is>
          <t>Singaraja Promo Korek 4 botol</t>
        </is>
      </c>
      <c r="C89" s="3" t="inlineStr">
        <is>
          <t>BEER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3">
        <f>"B11"</f>
        <v/>
      </c>
      <c r="B90" s="3" t="inlineStr">
        <is>
          <t>Bintang Pilsner 620ml</t>
        </is>
      </c>
      <c r="C90" s="3" t="inlineStr">
        <is>
          <t>BEER</t>
        </is>
      </c>
      <c r="D90" s="3" t="n">
        <v>35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31</v>
      </c>
    </row>
    <row r="91">
      <c r="A91" s="3">
        <f>"B12"</f>
        <v/>
      </c>
      <c r="B91" s="3" t="inlineStr">
        <is>
          <t>Bintang Crystal 330ml</t>
        </is>
      </c>
      <c r="C91" s="3" t="inlineStr">
        <is>
          <t>BEER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3">
        <f>"B13"</f>
        <v/>
      </c>
      <c r="B92" s="3" t="inlineStr">
        <is>
          <t>Prost alster kaleng</t>
        </is>
      </c>
      <c r="C92" s="3" t="inlineStr">
        <is>
          <t>BEER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3">
        <f>"B14"</f>
        <v/>
      </c>
      <c r="B93" s="3" t="inlineStr">
        <is>
          <t>Apidin Can 320ml</t>
        </is>
      </c>
      <c r="C93" s="3" t="inlineStr">
        <is>
          <t>BEER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3">
        <f>"B15"</f>
        <v/>
      </c>
      <c r="B94" s="3" t="inlineStr">
        <is>
          <t>Abidin</t>
        </is>
      </c>
      <c r="C94" s="3" t="inlineStr">
        <is>
          <t>BEER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</row>
    <row r="95">
      <c r="A95" s="3">
        <f>"B16"</f>
        <v/>
      </c>
      <c r="B95" s="3" t="inlineStr">
        <is>
          <t>Guinness Smooth 325ml</t>
        </is>
      </c>
      <c r="C95" s="3" t="inlineStr">
        <is>
          <t>BEER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3">
        <f>"B17"</f>
        <v/>
      </c>
      <c r="B96" s="3" t="inlineStr">
        <is>
          <t>Guinness Stout 325ml</t>
        </is>
      </c>
      <c r="C96" s="3" t="inlineStr">
        <is>
          <t>BEER</t>
        </is>
      </c>
      <c r="D96" s="3" t="n">
        <v>1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24</v>
      </c>
    </row>
    <row r="97">
      <c r="A97" s="3">
        <f>"B18"</f>
        <v/>
      </c>
      <c r="B97" s="3" t="inlineStr">
        <is>
          <t>Guinness Jumbo 620ml</t>
        </is>
      </c>
      <c r="C97" s="3" t="inlineStr">
        <is>
          <t>BEER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12</v>
      </c>
    </row>
    <row r="98">
      <c r="A98" s="3">
        <f>"B19"</f>
        <v/>
      </c>
      <c r="B98" s="3" t="inlineStr">
        <is>
          <t>Ameraja 330ml</t>
        </is>
      </c>
      <c r="C98" s="3" t="inlineStr">
        <is>
          <t>BEER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</row>
    <row r="99">
      <c r="A99" s="3">
        <f>"B20"</f>
        <v/>
      </c>
      <c r="B99" s="3" t="inlineStr">
        <is>
          <t>Ameraja Can 320ml</t>
        </is>
      </c>
      <c r="C99" s="3" t="inlineStr">
        <is>
          <t>BEER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</row>
    <row r="100">
      <c r="A100" s="3">
        <f>"B21"</f>
        <v/>
      </c>
      <c r="B100" s="3" t="inlineStr">
        <is>
          <t>Bintang Crystal 550ml</t>
        </is>
      </c>
      <c r="C100" s="3" t="inlineStr">
        <is>
          <t>BEER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3">
        <f>"B22"</f>
        <v/>
      </c>
      <c r="B101" s="3" t="inlineStr">
        <is>
          <t>Bintang Radler 330ml</t>
        </is>
      </c>
      <c r="C101" s="3" t="inlineStr">
        <is>
          <t>BEER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3">
        <f>"B23"</f>
        <v/>
      </c>
      <c r="B102" s="3" t="inlineStr">
        <is>
          <t>Ameraja 620ml</t>
        </is>
      </c>
      <c r="C102" s="3" t="inlineStr">
        <is>
          <t>BEER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3">
        <f>"B24"</f>
        <v/>
      </c>
      <c r="B103" s="3" t="inlineStr">
        <is>
          <t>Bintang Anggur Merah 620ml</t>
        </is>
      </c>
      <c r="C103" s="3" t="inlineStr">
        <is>
          <t>BEER</t>
        </is>
      </c>
      <c r="D103" s="3" t="n">
        <v>9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9</v>
      </c>
    </row>
    <row r="104">
      <c r="A104" s="3">
        <f>"B25"</f>
        <v/>
      </c>
      <c r="B104" s="3" t="inlineStr">
        <is>
          <t>Heineken 640ml</t>
        </is>
      </c>
      <c r="C104" s="3" t="inlineStr">
        <is>
          <t>BEER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3">
        <f>"B26"</f>
        <v/>
      </c>
      <c r="B105" s="3" t="inlineStr">
        <is>
          <t>Prost Lager Can 320ml</t>
        </is>
      </c>
      <c r="C105" s="3" t="inlineStr">
        <is>
          <t>BEER</t>
        </is>
      </c>
      <c r="D105" s="3" t="n">
        <v>21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21</v>
      </c>
    </row>
    <row r="106">
      <c r="A106" s="3">
        <f>"B27"</f>
        <v/>
      </c>
      <c r="B106" s="3" t="inlineStr">
        <is>
          <t>Prost Pilsener Can 500ml</t>
        </is>
      </c>
      <c r="C106" s="3" t="inlineStr">
        <is>
          <t>BEER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3">
        <f>"B28"</f>
        <v/>
      </c>
      <c r="B107" s="3" t="inlineStr">
        <is>
          <t>Somersby Apple Cider 330ml</t>
        </is>
      </c>
      <c r="C107" s="3" t="inlineStr">
        <is>
          <t>BEER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3">
        <f>"B29"</f>
        <v/>
      </c>
      <c r="B108" s="3" t="inlineStr">
        <is>
          <t>Balihai 620ml</t>
        </is>
      </c>
      <c r="C108" s="3" t="inlineStr">
        <is>
          <t>BEER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3">
        <f>"B30"</f>
        <v/>
      </c>
      <c r="B109" s="3" t="inlineStr">
        <is>
          <t>Draft Beer 620ml</t>
        </is>
      </c>
      <c r="C109" s="3" t="inlineStr">
        <is>
          <t>BEER</t>
        </is>
      </c>
      <c r="D109" s="3" t="n">
        <v>99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99</v>
      </c>
    </row>
    <row r="110">
      <c r="A110" s="3">
        <f>"B31"</f>
        <v/>
      </c>
      <c r="B110" s="3" t="inlineStr">
        <is>
          <t>Draft Beer Can 500ml</t>
        </is>
      </c>
      <c r="C110" s="3" t="inlineStr">
        <is>
          <t>BEER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3">
        <f>"B32"</f>
        <v/>
      </c>
      <c r="B111" s="3" t="inlineStr">
        <is>
          <t>Anker Pilsener 330ml</t>
        </is>
      </c>
      <c r="C111" s="3" t="inlineStr">
        <is>
          <t>BEER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3">
        <f>"B33"</f>
        <v/>
      </c>
      <c r="B112" s="3" t="inlineStr">
        <is>
          <t>Anker Lychee 330ml</t>
        </is>
      </c>
      <c r="C112" s="3" t="inlineStr">
        <is>
          <t>BEER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3">
        <f>"B34"</f>
        <v/>
      </c>
      <c r="B113" s="3" t="inlineStr">
        <is>
          <t>Anker Pilsener 620ml</t>
        </is>
      </c>
      <c r="C113" s="3" t="inlineStr">
        <is>
          <t>BEER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3">
        <f>"B35"</f>
        <v/>
      </c>
      <c r="B114" s="3" t="inlineStr">
        <is>
          <t>Anker Stout 620ml</t>
        </is>
      </c>
      <c r="C114" s="3" t="inlineStr">
        <is>
          <t>BEER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3">
        <f>"B36"</f>
        <v/>
      </c>
      <c r="B115" s="3" t="inlineStr">
        <is>
          <t>Carlsberg 330ml</t>
        </is>
      </c>
      <c r="C115" s="3" t="inlineStr">
        <is>
          <t>BEER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3">
        <f>"B37"</f>
        <v/>
      </c>
      <c r="B116" s="3" t="inlineStr">
        <is>
          <t>Carlsberg 640ml</t>
        </is>
      </c>
      <c r="C116" s="3" t="inlineStr">
        <is>
          <t>BEER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3">
        <f>"B38"</f>
        <v/>
      </c>
      <c r="B117" s="3" t="inlineStr">
        <is>
          <t>San Mig Light 330ml</t>
        </is>
      </c>
      <c r="C117" s="3" t="inlineStr">
        <is>
          <t>BEER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3">
        <f>"B39"</f>
        <v/>
      </c>
      <c r="B118" s="3" t="inlineStr">
        <is>
          <t>Kuda Putih 620ml</t>
        </is>
      </c>
      <c r="C118" s="3" t="inlineStr">
        <is>
          <t>BEER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3">
        <f>"B40"</f>
        <v/>
      </c>
      <c r="B119" s="3" t="inlineStr">
        <is>
          <t>Singaraja Can 320ml</t>
        </is>
      </c>
      <c r="C119" s="3" t="inlineStr">
        <is>
          <t>BEER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3">
        <f>"B41"</f>
        <v/>
      </c>
      <c r="B120" s="3" t="inlineStr">
        <is>
          <t>Kirin Ichiban 330ml</t>
        </is>
      </c>
      <c r="C120" s="3" t="inlineStr">
        <is>
          <t>BEER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3">
        <f>"B42"</f>
        <v/>
      </c>
      <c r="B121" s="3" t="inlineStr">
        <is>
          <t>Prost Lager Can 500ml</t>
        </is>
      </c>
      <c r="C121" s="3" t="inlineStr">
        <is>
          <t>BEER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3">
        <f>"B43"</f>
        <v/>
      </c>
      <c r="B122" s="3" t="inlineStr">
        <is>
          <t>Apidin 620ml</t>
        </is>
      </c>
      <c r="C122" s="3" t="inlineStr">
        <is>
          <t>BEER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3">
        <f>"B44"</f>
        <v/>
      </c>
      <c r="B123" s="3" t="inlineStr">
        <is>
          <t>Panther Black 330ml</t>
        </is>
      </c>
      <c r="C123" s="3" t="inlineStr">
        <is>
          <t>BEER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3">
        <f>"B45"</f>
        <v/>
      </c>
      <c r="B124" s="3" t="inlineStr">
        <is>
          <t>Panther Black 620ml</t>
        </is>
      </c>
      <c r="C124" s="3" t="inlineStr">
        <is>
          <t>BEER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3">
        <f>"B46"</f>
        <v/>
      </c>
      <c r="B125" s="3" t="inlineStr">
        <is>
          <t>Singaraja Anggur Merah 620ml</t>
        </is>
      </c>
      <c r="C125" s="3" t="inlineStr">
        <is>
          <t>BEER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3">
        <f>"B47"</f>
        <v/>
      </c>
      <c r="B126" s="3" t="inlineStr">
        <is>
          <t>Singaraja Anggur Hijau 620ml</t>
        </is>
      </c>
      <c r="C126" s="3" t="inlineStr">
        <is>
          <t>BEER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3">
        <f>"B48"</f>
        <v/>
      </c>
      <c r="B127" s="3" t="inlineStr">
        <is>
          <t>Singaraja Arak Jeruk Madu 330ml</t>
        </is>
      </c>
      <c r="C127" s="3" t="inlineStr">
        <is>
          <t>BEER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</row>
    <row r="128">
      <c r="A128" s="3">
        <f>"B49"</f>
        <v/>
      </c>
      <c r="B128" s="3" t="inlineStr">
        <is>
          <t>Draft Beer 220ml</t>
        </is>
      </c>
      <c r="C128" s="3" t="inlineStr">
        <is>
          <t>BEER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3">
        <f>"B50"</f>
        <v/>
      </c>
      <c r="B129" s="3" t="inlineStr">
        <is>
          <t>Singaraja Arak 620ml</t>
        </is>
      </c>
      <c r="C129" s="3" t="inlineStr">
        <is>
          <t>BEER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</row>
    <row r="130">
      <c r="A130" s="3">
        <f>"B51"</f>
        <v/>
      </c>
      <c r="B130" s="3" t="inlineStr">
        <is>
          <t>Anker Pineapple 330ml</t>
        </is>
      </c>
      <c r="C130" s="3" t="inlineStr">
        <is>
          <t>BEER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</row>
    <row r="131">
      <c r="A131" s="3">
        <f>"B52"</f>
        <v/>
      </c>
      <c r="B131" s="3" t="inlineStr">
        <is>
          <t>Corona Extra 355ml</t>
        </is>
      </c>
      <c r="C131" s="3" t="inlineStr">
        <is>
          <t>BEER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3">
        <f>"B53"</f>
        <v/>
      </c>
      <c r="B132" s="3" t="inlineStr">
        <is>
          <t>Asahi Super Dry Beer Botol 334ml</t>
        </is>
      </c>
      <c r="C132" s="3" t="inlineStr">
        <is>
          <t>BEER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</row>
    <row r="133">
      <c r="A133" s="3">
        <f>"B54"</f>
        <v/>
      </c>
      <c r="B133" s="3" t="inlineStr">
        <is>
          <t>Guinness Microdraught 558ml</t>
        </is>
      </c>
      <c r="C133" s="3" t="inlineStr">
        <is>
          <t>BEER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</row>
    <row r="134">
      <c r="A134" s="3">
        <f>"B55"</f>
        <v/>
      </c>
      <c r="B134" s="3" t="inlineStr">
        <is>
          <t>Konig Ludwig Dunkel 330ml</t>
        </is>
      </c>
      <c r="C134" s="3" t="inlineStr">
        <is>
          <t>BEER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3">
        <f>"B56"</f>
        <v/>
      </c>
      <c r="B135" s="3" t="inlineStr">
        <is>
          <t>Konig Ludwig Dunkel 640ml</t>
        </is>
      </c>
      <c r="C135" s="3" t="inlineStr">
        <is>
          <t>BEER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</row>
    <row r="136">
      <c r="A136" s="3">
        <f>"B57"</f>
        <v/>
      </c>
      <c r="B136" s="3" t="inlineStr">
        <is>
          <t>Singa Raja Can 500ml</t>
        </is>
      </c>
      <c r="C136" s="3" t="inlineStr">
        <is>
          <t>BEER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</row>
    <row r="137">
      <c r="A137" s="3">
        <f>"B58"</f>
        <v/>
      </c>
      <c r="B137" s="3" t="inlineStr">
        <is>
          <t>Bintang Can 320ml</t>
        </is>
      </c>
      <c r="C137" s="3" t="inlineStr">
        <is>
          <t>BEER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24</v>
      </c>
    </row>
    <row r="138">
      <c r="A138" s="3">
        <f>"B59"</f>
        <v/>
      </c>
      <c r="B138" s="3" t="inlineStr">
        <is>
          <t>Prost Rajawali Rasberry Can 320ml</t>
        </is>
      </c>
      <c r="C138" s="3" t="inlineStr">
        <is>
          <t>BEER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</row>
    <row r="139">
      <c r="A139" s="3">
        <f>"B60"</f>
        <v/>
      </c>
      <c r="B139" s="3" t="inlineStr">
        <is>
          <t>Prost Rajawali Rasberry Botol 330ml</t>
        </is>
      </c>
      <c r="C139" s="3" t="inlineStr">
        <is>
          <t>BEER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</row>
    <row r="140">
      <c r="A140" s="3">
        <f>"B61"</f>
        <v/>
      </c>
      <c r="B140" s="3" t="inlineStr">
        <is>
          <t>Prost Rajawali Apple Lime Can 320ml</t>
        </is>
      </c>
      <c r="C140" s="3" t="inlineStr">
        <is>
          <t>BEER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</row>
    <row r="141">
      <c r="A141" s="3">
        <f>"B62"</f>
        <v/>
      </c>
      <c r="B141" s="3" t="inlineStr">
        <is>
          <t>Bintang Can 500ml</t>
        </is>
      </c>
      <c r="C141" s="3" t="inlineStr">
        <is>
          <t>BEER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</row>
    <row r="142">
      <c r="A142" s="3">
        <f>"B63"</f>
        <v/>
      </c>
      <c r="B142" s="3" t="inlineStr">
        <is>
          <t>Bintang Pilsner 330ml</t>
        </is>
      </c>
      <c r="C142" s="3" t="inlineStr">
        <is>
          <t>BEER</t>
        </is>
      </c>
      <c r="D142" s="3" t="n">
        <v>13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13</v>
      </c>
    </row>
    <row r="143">
      <c r="A143" s="3">
        <f>"B64"</f>
        <v/>
      </c>
      <c r="B143" s="3" t="inlineStr">
        <is>
          <t>Guinness Draught In Can 440ml</t>
        </is>
      </c>
      <c r="C143" s="3" t="inlineStr">
        <is>
          <t>BEER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</row>
    <row r="144">
      <c r="A144" s="3">
        <f>"B65"</f>
        <v/>
      </c>
      <c r="B144" s="3" t="inlineStr">
        <is>
          <t>Guinness Stout Can 500ml</t>
        </is>
      </c>
      <c r="C144" s="3" t="inlineStr">
        <is>
          <t>BEER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</row>
    <row r="145">
      <c r="A145" s="3">
        <f>"B66"</f>
        <v/>
      </c>
      <c r="B145" s="3" t="inlineStr">
        <is>
          <t>Singaraja Biru Botol Pale Ale 250ml</t>
        </is>
      </c>
      <c r="C145" s="3" t="inlineStr">
        <is>
          <t>BEER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</row>
    <row r="146">
      <c r="A146" s="3">
        <f>"B67"</f>
        <v/>
      </c>
      <c r="B146" s="3" t="inlineStr">
        <is>
          <t>Singaraja Biru Can Pale Ale 320ml</t>
        </is>
      </c>
      <c r="C146" s="3" t="inlineStr">
        <is>
          <t>BEER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</row>
    <row r="147">
      <c r="A147" s="3">
        <f>"B68"</f>
        <v/>
      </c>
      <c r="B147" s="3" t="inlineStr">
        <is>
          <t>Singaraja Hijau Botol Pale Ale 250ml</t>
        </is>
      </c>
      <c r="C147" s="3" t="inlineStr">
        <is>
          <t>BEER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</row>
    <row r="148">
      <c r="A148" s="3">
        <f>"B69"</f>
        <v/>
      </c>
      <c r="B148" s="3" t="inlineStr">
        <is>
          <t>Singaraja Hijau Can Pale Ale 320ml</t>
        </is>
      </c>
      <c r="C148" s="3" t="inlineStr">
        <is>
          <t>BEER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</row>
    <row r="149">
      <c r="A149" s="3">
        <f>"B70"</f>
        <v/>
      </c>
      <c r="B149" s="3" t="inlineStr">
        <is>
          <t>Draft Beer Can 320ml</t>
        </is>
      </c>
      <c r="C149" s="3" t="inlineStr">
        <is>
          <t>BEER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</row>
    <row r="150">
      <c r="A150" s="3">
        <f>"B71"</f>
        <v/>
      </c>
      <c r="B150" s="3" t="inlineStr">
        <is>
          <t>Singaraja Can Anggur Merah</t>
        </is>
      </c>
      <c r="C150" s="3" t="inlineStr">
        <is>
          <t>BEER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</row>
    <row r="151">
      <c r="A151" s="3">
        <f>"B72"</f>
        <v/>
      </c>
      <c r="B151" s="3" t="inlineStr">
        <is>
          <t>Guinnes Stout Can 320ml</t>
        </is>
      </c>
      <c r="C151" s="3" t="inlineStr">
        <is>
          <t>BEER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</row>
    <row r="152">
      <c r="A152" s="3">
        <f>"B73"</f>
        <v/>
      </c>
      <c r="B152" s="3" t="inlineStr">
        <is>
          <t>Singaraja Can Anggur Hijau</t>
        </is>
      </c>
      <c r="C152" s="3" t="inlineStr">
        <is>
          <t>BEER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</row>
    <row r="153">
      <c r="A153" s="3">
        <f>"B74"</f>
        <v/>
      </c>
      <c r="B153" s="3" t="inlineStr">
        <is>
          <t>Prost Pilsener Botol 330ml</t>
        </is>
      </c>
      <c r="C153" s="3" t="inlineStr">
        <is>
          <t>BEER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</row>
    <row r="154">
      <c r="A154" s="3">
        <f>"B76"</f>
        <v/>
      </c>
      <c r="B154" s="3" t="inlineStr">
        <is>
          <t>Bintang Anggur Merah Can 320ml</t>
        </is>
      </c>
      <c r="C154" s="3" t="inlineStr">
        <is>
          <t>BEER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</row>
    <row r="155">
      <c r="A155" s="3">
        <f>"B77"</f>
        <v/>
      </c>
      <c r="B155" s="3" t="inlineStr">
        <is>
          <t>Prost Alster Lychee 330ml</t>
        </is>
      </c>
      <c r="C155" s="3" t="inlineStr">
        <is>
          <t>BEER</t>
        </is>
      </c>
      <c r="D155" s="3" t="n">
        <v>12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12</v>
      </c>
    </row>
    <row r="156">
      <c r="A156" s="3">
        <f>"B78"</f>
        <v/>
      </c>
      <c r="B156" s="3" t="inlineStr">
        <is>
          <t>Bintang Crystal Can 320ml</t>
        </is>
      </c>
      <c r="C156" s="3" t="inlineStr">
        <is>
          <t>BEER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</row>
    <row r="157">
      <c r="A157" s="3">
        <f>"B79"</f>
        <v/>
      </c>
      <c r="B157" s="3" t="inlineStr">
        <is>
          <t>Bintang Crystal Can 500ml</t>
        </is>
      </c>
      <c r="C157" s="3" t="inlineStr">
        <is>
          <t>BEER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</row>
    <row r="158">
      <c r="A158" s="3">
        <f>"B80"</f>
        <v/>
      </c>
      <c r="B158" s="3" t="inlineStr">
        <is>
          <t>Bintang Radler Can 320ml</t>
        </is>
      </c>
      <c r="C158" s="3" t="inlineStr">
        <is>
          <t>BEER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</row>
    <row r="159">
      <c r="A159" s="3">
        <f>"B81"</f>
        <v/>
      </c>
      <c r="B159" s="3" t="inlineStr">
        <is>
          <t>Heineken Can 500ml</t>
        </is>
      </c>
      <c r="C159" s="3" t="inlineStr">
        <is>
          <t>BEER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</row>
    <row r="160">
      <c r="A160" s="3">
        <f>"B82"</f>
        <v/>
      </c>
      <c r="B160" s="3" t="inlineStr">
        <is>
          <t>Bintang Arak Jeruk Madu 330ml</t>
        </is>
      </c>
      <c r="C160" s="3" t="inlineStr">
        <is>
          <t>BEER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</row>
    <row r="161">
      <c r="A161" s="3">
        <f>"B83"</f>
        <v/>
      </c>
      <c r="B161" s="3" t="inlineStr">
        <is>
          <t>Bintang Arak Jeruk Madu 620ml</t>
        </is>
      </c>
      <c r="C161" s="3" t="inlineStr">
        <is>
          <t>BEER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</row>
    <row r="162">
      <c r="A162" s="3">
        <f>"DRI01"</f>
        <v/>
      </c>
      <c r="B162" s="3" t="inlineStr">
        <is>
          <t>Sprite 390ml</t>
        </is>
      </c>
      <c r="C162" s="3" t="inlineStr">
        <is>
          <t>DRINK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10</v>
      </c>
    </row>
    <row r="163">
      <c r="A163" s="3">
        <f>"DRI02"</f>
        <v/>
      </c>
      <c r="B163" s="3" t="inlineStr">
        <is>
          <t>Coca Cola 390ml</t>
        </is>
      </c>
      <c r="C163" s="3" t="inlineStr">
        <is>
          <t>DRINK</t>
        </is>
      </c>
      <c r="D163" s="3" t="n">
        <v>46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46</v>
      </c>
    </row>
    <row r="164">
      <c r="A164" s="3">
        <f>"DRI03"</f>
        <v/>
      </c>
      <c r="B164" s="3" t="inlineStr">
        <is>
          <t>Fanta 390ml</t>
        </is>
      </c>
      <c r="C164" s="3" t="inlineStr">
        <is>
          <t>DRINK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</row>
    <row r="165">
      <c r="A165" s="3">
        <f>"DRI04"</f>
        <v/>
      </c>
      <c r="B165" s="3" t="inlineStr">
        <is>
          <t>Teh Pucuk 350ml</t>
        </is>
      </c>
      <c r="C165" s="3" t="inlineStr">
        <is>
          <t>DRINK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</row>
    <row r="166">
      <c r="A166" s="3">
        <f>"DRI05"</f>
        <v/>
      </c>
      <c r="B166" s="3" t="inlineStr">
        <is>
          <t>Pulpy</t>
        </is>
      </c>
      <c r="C166" s="3" t="inlineStr">
        <is>
          <t>DRINK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</row>
    <row r="167">
      <c r="A167" s="3">
        <f>"DRI06"</f>
        <v/>
      </c>
      <c r="B167" s="3" t="inlineStr">
        <is>
          <t>Pokka Green Tea Can</t>
        </is>
      </c>
      <c r="C167" s="3" t="inlineStr">
        <is>
          <t>DRINK</t>
        </is>
      </c>
      <c r="D167" s="3" t="n">
        <v>22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22</v>
      </c>
    </row>
    <row r="168">
      <c r="A168" s="3">
        <f>"DRI07"</f>
        <v/>
      </c>
      <c r="B168" s="3" t="inlineStr">
        <is>
          <t>Crystalline 330ml</t>
        </is>
      </c>
      <c r="C168" s="3" t="inlineStr">
        <is>
          <t>DRINK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</row>
    <row r="169">
      <c r="A169" s="3">
        <f>"DRI08"</f>
        <v/>
      </c>
      <c r="B169" s="3" t="inlineStr">
        <is>
          <t>Greensands 250ml</t>
        </is>
      </c>
      <c r="C169" s="3" t="inlineStr">
        <is>
          <t>DRINK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</row>
    <row r="170">
      <c r="A170" s="3">
        <f>"DRI09"</f>
        <v/>
      </c>
      <c r="B170" s="3" t="inlineStr">
        <is>
          <t>Cleo Air Mineral 550ml</t>
        </is>
      </c>
      <c r="C170" s="3" t="inlineStr">
        <is>
          <t>DRINK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</row>
    <row r="171">
      <c r="A171" s="3">
        <f>"DRI10"</f>
        <v/>
      </c>
      <c r="B171" s="3" t="inlineStr">
        <is>
          <t>Ave Sparkling Soda</t>
        </is>
      </c>
      <c r="C171" s="3" t="inlineStr">
        <is>
          <t>DRINK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</row>
    <row r="172">
      <c r="A172" s="3">
        <f>"DRI11"</f>
        <v/>
      </c>
      <c r="B172" s="3" t="inlineStr">
        <is>
          <t>Schweppes Tonic Water 330ml</t>
        </is>
      </c>
      <c r="C172" s="3" t="inlineStr">
        <is>
          <t>DRINK</t>
        </is>
      </c>
      <c r="D172" s="3" t="n">
        <v>18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18</v>
      </c>
    </row>
    <row r="173">
      <c r="A173" s="3">
        <f>"DRI12"</f>
        <v/>
      </c>
      <c r="B173" s="3" t="inlineStr">
        <is>
          <t>Milk Barn Koala</t>
        </is>
      </c>
      <c r="C173" s="3" t="inlineStr">
        <is>
          <t>DRINK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</row>
    <row r="174">
      <c r="A174" s="3">
        <f>"DRI13"</f>
        <v/>
      </c>
      <c r="B174" s="3" t="inlineStr">
        <is>
          <t>Oishiiyori Green Tea</t>
        </is>
      </c>
      <c r="C174" s="3" t="inlineStr">
        <is>
          <t>DRINK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</row>
    <row r="175">
      <c r="A175" s="3">
        <f>"DRI14"</f>
        <v/>
      </c>
      <c r="B175" s="3" t="inlineStr">
        <is>
          <t>Oishiiyori Grass Jelly Honey</t>
        </is>
      </c>
      <c r="C175" s="3" t="inlineStr">
        <is>
          <t>DRINK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</row>
    <row r="176">
      <c r="A176" s="3">
        <f>"DRI15"</f>
        <v/>
      </c>
      <c r="B176" s="3" t="inlineStr">
        <is>
          <t>Mojo Tras air mineral 600ml</t>
        </is>
      </c>
      <c r="C176" s="3" t="inlineStr">
        <is>
          <t>DRINK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</row>
    <row r="177">
      <c r="A177" s="3">
        <f>"DRI16"</f>
        <v/>
      </c>
      <c r="B177" s="3" t="inlineStr">
        <is>
          <t>Mojo Tras air mineral 330ml</t>
        </is>
      </c>
      <c r="C177" s="3" t="inlineStr">
        <is>
          <t>DRINK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</row>
    <row r="178">
      <c r="A178" s="3">
        <f>"DRI17"</f>
        <v/>
      </c>
      <c r="B178" s="3" t="inlineStr">
        <is>
          <t>Club Air Mineral 600ml</t>
        </is>
      </c>
      <c r="C178" s="3" t="inlineStr">
        <is>
          <t>DRINK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</row>
    <row r="179">
      <c r="A179" s="3">
        <f>"DRI18"</f>
        <v/>
      </c>
      <c r="B179" s="3" t="inlineStr">
        <is>
          <t>Ave Sparkling Ginger</t>
        </is>
      </c>
      <c r="C179" s="3" t="inlineStr">
        <is>
          <t>DRINK</t>
        </is>
      </c>
      <c r="D179" s="3" t="n">
        <v>24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24</v>
      </c>
    </row>
    <row r="180">
      <c r="A180" s="3">
        <f>"DRI19"</f>
        <v/>
      </c>
      <c r="B180" s="3" t="inlineStr">
        <is>
          <t>Pocari Sweat 500ml</t>
        </is>
      </c>
      <c r="C180" s="3" t="inlineStr">
        <is>
          <t>DRINK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</row>
    <row r="181">
      <c r="A181" s="3">
        <f>"DRI20"</f>
        <v/>
      </c>
      <c r="B181" s="3" t="inlineStr">
        <is>
          <t>Oronamin C 120ml</t>
        </is>
      </c>
      <c r="C181" s="3" t="inlineStr">
        <is>
          <t>DRINK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</row>
    <row r="182">
      <c r="A182" s="3">
        <f>"DRI21"</f>
        <v/>
      </c>
      <c r="B182" s="3" t="inlineStr">
        <is>
          <t>Tebs Sparkling Tea 330ml</t>
        </is>
      </c>
      <c r="C182" s="3" t="inlineStr">
        <is>
          <t>DRINK</t>
        </is>
      </c>
      <c r="D182" s="3" t="n">
        <v>19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18</v>
      </c>
    </row>
    <row r="183">
      <c r="A183" s="3">
        <f>"DRI22"</f>
        <v/>
      </c>
      <c r="B183" s="3" t="inlineStr">
        <is>
          <t>Greensands 330ml</t>
        </is>
      </c>
      <c r="C183" s="3" t="inlineStr">
        <is>
          <t>DRINK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</row>
    <row r="184">
      <c r="A184" s="3">
        <f>"DRI23"</f>
        <v/>
      </c>
      <c r="B184" s="3" t="inlineStr">
        <is>
          <t>Crystaline 600ml</t>
        </is>
      </c>
      <c r="C184" s="3" t="inlineStr">
        <is>
          <t>DRINK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3">
        <f>"DRI24"</f>
        <v/>
      </c>
      <c r="B185" s="3" t="inlineStr">
        <is>
          <t>Sprite Can 250ml</t>
        </is>
      </c>
      <c r="C185" s="3" t="inlineStr">
        <is>
          <t>DRINK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</row>
    <row r="186">
      <c r="A186" s="3">
        <f>"DRI25"</f>
        <v/>
      </c>
      <c r="B186" s="3" t="inlineStr">
        <is>
          <t>Pokka Green Tea Botol 450ml</t>
        </is>
      </c>
      <c r="C186" s="3" t="inlineStr">
        <is>
          <t>DRINK</t>
        </is>
      </c>
      <c r="D186" s="3" t="n">
        <v>12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12</v>
      </c>
    </row>
    <row r="187">
      <c r="A187" s="3">
        <f>"DRI26"</f>
        <v/>
      </c>
      <c r="B187" s="3" t="inlineStr">
        <is>
          <t>Pokka Mango Botol 450ml</t>
        </is>
      </c>
      <c r="C187" s="3" t="inlineStr">
        <is>
          <t>DRINK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</row>
    <row r="188">
      <c r="A188" s="3">
        <f>"DRI27"</f>
        <v/>
      </c>
      <c r="B188" s="3" t="inlineStr">
        <is>
          <t>Pokka Lychee Botol 450ml</t>
        </is>
      </c>
      <c r="C188" s="3" t="inlineStr">
        <is>
          <t>DRINK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</row>
    <row r="189">
      <c r="A189" s="3">
        <f>"DRI28"</f>
        <v/>
      </c>
      <c r="B189" s="3" t="inlineStr">
        <is>
          <t>Malabar Ginger Ale Can</t>
        </is>
      </c>
      <c r="C189" s="3" t="inlineStr">
        <is>
          <t>DRINK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</row>
    <row r="190">
      <c r="A190" s="3">
        <f>"G01"</f>
        <v/>
      </c>
      <c r="B190" s="3" t="inlineStr">
        <is>
          <t>Empire Gin 350ml</t>
        </is>
      </c>
      <c r="C190" s="3" t="inlineStr">
        <is>
          <t>GIN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</row>
    <row r="191">
      <c r="A191" s="3">
        <f>"G02"</f>
        <v/>
      </c>
      <c r="B191" s="3" t="inlineStr">
        <is>
          <t>Empire Gin 700ml</t>
        </is>
      </c>
      <c r="C191" s="3" t="inlineStr">
        <is>
          <t>GIN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</row>
    <row r="192">
      <c r="A192" s="3">
        <f>"G03"</f>
        <v/>
      </c>
      <c r="B192" s="3" t="inlineStr">
        <is>
          <t>Royal Brewhouse Platinum Gin</t>
        </is>
      </c>
      <c r="C192" s="3" t="inlineStr">
        <is>
          <t>GIN</t>
        </is>
      </c>
      <c r="D192" s="3" t="n">
        <v>1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</v>
      </c>
    </row>
    <row r="193">
      <c r="A193" s="3">
        <f>"G04"</f>
        <v/>
      </c>
      <c r="B193" s="3" t="inlineStr">
        <is>
          <t>Gordons Pink Gin 750ml</t>
        </is>
      </c>
      <c r="C193" s="3" t="inlineStr">
        <is>
          <t>GIN</t>
        </is>
      </c>
      <c r="D193" s="3" t="n">
        <v>6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6</v>
      </c>
    </row>
    <row r="194">
      <c r="A194" s="3">
        <f>"G05"</f>
        <v/>
      </c>
      <c r="B194" s="3" t="inlineStr">
        <is>
          <t>Gordons Dry Gin 750ml</t>
        </is>
      </c>
      <c r="C194" s="3" t="inlineStr">
        <is>
          <t>GIN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</v>
      </c>
    </row>
    <row r="195">
      <c r="A195" s="3">
        <f>"G06"</f>
        <v/>
      </c>
      <c r="B195" s="3" t="inlineStr">
        <is>
          <t>Robinson Dry Gin 350ml</t>
        </is>
      </c>
      <c r="C195" s="3" t="inlineStr">
        <is>
          <t>GIN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</row>
    <row r="196">
      <c r="A196" s="3">
        <f>"G07"</f>
        <v/>
      </c>
      <c r="B196" s="3" t="inlineStr">
        <is>
          <t>Robinson Dry Gin 680ml</t>
        </is>
      </c>
      <c r="C196" s="3" t="inlineStr">
        <is>
          <t>GIN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</row>
    <row r="197">
      <c r="A197" s="3">
        <f>"G08"</f>
        <v/>
      </c>
      <c r="B197" s="3" t="inlineStr">
        <is>
          <t>East Indies Archipel Gin200ml</t>
        </is>
      </c>
      <c r="C197" s="3" t="inlineStr">
        <is>
          <t>GIN</t>
        </is>
      </c>
      <c r="D197" s="3" t="n">
        <v>3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3</v>
      </c>
    </row>
    <row r="198">
      <c r="A198" s="3">
        <f>"G09"</f>
        <v/>
      </c>
      <c r="B198" s="3" t="inlineStr">
        <is>
          <t>East Indies Archipel Gin700ml</t>
        </is>
      </c>
      <c r="C198" s="3" t="inlineStr">
        <is>
          <t>GIN</t>
        </is>
      </c>
      <c r="D198" s="3" t="n">
        <v>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</v>
      </c>
    </row>
    <row r="199">
      <c r="A199" s="3">
        <f>"G11"</f>
        <v/>
      </c>
      <c r="B199" s="3" t="inlineStr">
        <is>
          <t>East Indies Banda Gin 200ml</t>
        </is>
      </c>
      <c r="C199" s="3" t="inlineStr">
        <is>
          <t>GIN</t>
        </is>
      </c>
      <c r="D199" s="3" t="n">
        <v>3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3</v>
      </c>
    </row>
    <row r="200">
      <c r="A200" s="3">
        <f>"G12"</f>
        <v/>
      </c>
      <c r="B200" s="3" t="inlineStr">
        <is>
          <t>East Indies Banda Gin 700ml</t>
        </is>
      </c>
      <c r="C200" s="3" t="inlineStr">
        <is>
          <t>GIN</t>
        </is>
      </c>
      <c r="D200" s="3" t="n">
        <v>1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1</v>
      </c>
    </row>
    <row r="201">
      <c r="A201" s="3">
        <f>"G13"</f>
        <v/>
      </c>
      <c r="B201" s="3" t="inlineStr">
        <is>
          <t>East Indies Pomelo Gin 200ml</t>
        </is>
      </c>
      <c r="C201" s="3" t="inlineStr">
        <is>
          <t>GIN</t>
        </is>
      </c>
      <c r="D201" s="3" t="n">
        <v>1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</v>
      </c>
    </row>
    <row r="202">
      <c r="A202" s="3">
        <f>"G14"</f>
        <v/>
      </c>
      <c r="B202" s="3" t="inlineStr">
        <is>
          <t>East Indies Pomelo Gin 700ml</t>
        </is>
      </c>
      <c r="C202" s="3" t="inlineStr">
        <is>
          <t>GIN</t>
        </is>
      </c>
      <c r="D202" s="3" t="n">
        <v>1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1</v>
      </c>
    </row>
    <row r="203">
      <c r="A203" s="3">
        <f>"G15"</f>
        <v/>
      </c>
      <c r="B203" s="3" t="inlineStr">
        <is>
          <t>Bulldog Dry Gin 750ml</t>
        </is>
      </c>
      <c r="C203" s="3" t="inlineStr">
        <is>
          <t>GIN</t>
        </is>
      </c>
      <c r="D203" s="3" t="n">
        <v>1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1</v>
      </c>
    </row>
    <row r="204">
      <c r="A204" s="3">
        <f>"G16"</f>
        <v/>
      </c>
      <c r="B204" s="3" t="inlineStr">
        <is>
          <t>H Gin 750ml</t>
        </is>
      </c>
      <c r="C204" s="3" t="inlineStr">
        <is>
          <t>GIN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</row>
    <row r="205">
      <c r="A205" s="3">
        <f>"G17"</f>
        <v/>
      </c>
      <c r="B205" s="3" t="inlineStr">
        <is>
          <t>Gilbeys Gin 350ml</t>
        </is>
      </c>
      <c r="C205" s="3" t="inlineStr">
        <is>
          <t>GIN</t>
        </is>
      </c>
      <c r="D205" s="3" t="n">
        <v>12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12</v>
      </c>
    </row>
    <row r="206">
      <c r="A206" s="3">
        <f>"G18"</f>
        <v/>
      </c>
      <c r="B206" s="3" t="inlineStr">
        <is>
          <t>Gilbeys Gin 700ml</t>
        </is>
      </c>
      <c r="C206" s="3" t="inlineStr">
        <is>
          <t>GIN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</row>
    <row r="207">
      <c r="A207" s="3">
        <f>"G19"</f>
        <v/>
      </c>
      <c r="B207" s="3" t="inlineStr">
        <is>
          <t>Silver Dry Gin 700ml</t>
        </is>
      </c>
      <c r="C207" s="3" t="inlineStr">
        <is>
          <t>GIN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</row>
    <row r="208">
      <c r="A208" s="3">
        <f>"G20"</f>
        <v/>
      </c>
      <c r="B208" s="3" t="inlineStr">
        <is>
          <t>Gordons Dry Gin 200ml</t>
        </is>
      </c>
      <c r="C208" s="3" t="inlineStr">
        <is>
          <t>GIN</t>
        </is>
      </c>
      <c r="D208" s="3" t="n">
        <v>6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6</v>
      </c>
    </row>
    <row r="209">
      <c r="A209" s="3">
        <f>"G21"</f>
        <v/>
      </c>
      <c r="B209" s="3" t="inlineStr">
        <is>
          <t>Gordons Pink Gin 200ml</t>
        </is>
      </c>
      <c r="C209" s="3" t="inlineStr">
        <is>
          <t>GIN</t>
        </is>
      </c>
      <c r="D209" s="3" t="n">
        <v>6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6</v>
      </c>
    </row>
    <row r="210">
      <c r="A210" s="3">
        <f>"G22"</f>
        <v/>
      </c>
      <c r="B210" s="3" t="inlineStr">
        <is>
          <t>East Indies Matahari Gin 200ml</t>
        </is>
      </c>
      <c r="C210" s="3" t="inlineStr">
        <is>
          <t>GIN</t>
        </is>
      </c>
      <c r="D210" s="3" t="n">
        <v>1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1</v>
      </c>
    </row>
    <row r="211">
      <c r="A211" s="3">
        <f>"G23"</f>
        <v/>
      </c>
      <c r="B211" s="3" t="inlineStr">
        <is>
          <t>East Indies Matahari Gin 700ml</t>
        </is>
      </c>
      <c r="C211" s="3" t="inlineStr">
        <is>
          <t>GIN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</row>
    <row r="212">
      <c r="A212" s="3">
        <f>"G24"</f>
        <v/>
      </c>
      <c r="B212" s="3" t="inlineStr">
        <is>
          <t>East Indies London Dry Gin 200ml</t>
        </is>
      </c>
      <c r="C212" s="3" t="inlineStr">
        <is>
          <t>GIN</t>
        </is>
      </c>
      <c r="D212" s="3" t="n">
        <v>3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3</v>
      </c>
    </row>
    <row r="213">
      <c r="A213" s="3">
        <f>"G25"</f>
        <v/>
      </c>
      <c r="B213" s="3" t="inlineStr">
        <is>
          <t>East Indies London Dry Gin 700ml</t>
        </is>
      </c>
      <c r="C213" s="3" t="inlineStr">
        <is>
          <t>GIN</t>
        </is>
      </c>
      <c r="D213" s="3" t="n">
        <v>1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</row>
    <row r="214">
      <c r="A214" s="3">
        <f>"GR01"</f>
        <v/>
      </c>
      <c r="B214" s="3" t="inlineStr">
        <is>
          <t>French Fries</t>
        </is>
      </c>
      <c r="C214" s="3" t="inlineStr">
        <is>
          <t>GORENGAN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</row>
    <row r="215">
      <c r="A215" s="3">
        <f>"GR02"</f>
        <v/>
      </c>
      <c r="B215" s="3" t="inlineStr">
        <is>
          <t>Nugget</t>
        </is>
      </c>
      <c r="C215" s="3" t="inlineStr">
        <is>
          <t>GORENGAN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</row>
    <row r="216">
      <c r="A216" s="3">
        <f>"GR03"</f>
        <v/>
      </c>
      <c r="B216" s="3" t="inlineStr">
        <is>
          <t>Sosis Goreng</t>
        </is>
      </c>
      <c r="C216" s="3" t="inlineStr">
        <is>
          <t>GORENGAN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</row>
    <row r="217">
      <c r="A217" s="3">
        <f>"GR04"</f>
        <v/>
      </c>
      <c r="B217" s="3" t="inlineStr">
        <is>
          <t>Buah</t>
        </is>
      </c>
      <c r="C217" s="3" t="inlineStr">
        <is>
          <t>GORENGAN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</row>
    <row r="218">
      <c r="A218" s="3">
        <f>"GR05"</f>
        <v/>
      </c>
      <c r="B218" s="3" t="inlineStr">
        <is>
          <t>Es Batu</t>
        </is>
      </c>
      <c r="C218" s="3" t="inlineStr">
        <is>
          <t>GORENGAN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</row>
    <row r="219">
      <c r="A219" s="3">
        <f>"GR06"</f>
        <v/>
      </c>
      <c r="B219" s="3" t="inlineStr">
        <is>
          <t>Tahu Kress</t>
        </is>
      </c>
      <c r="C219" s="3" t="inlineStr">
        <is>
          <t>GORENGAN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</row>
    <row r="220">
      <c r="A220" s="3">
        <f>"GR07"</f>
        <v/>
      </c>
      <c r="B220" s="3" t="inlineStr">
        <is>
          <t>Ayam pok pok</t>
        </is>
      </c>
      <c r="C220" s="3" t="inlineStr">
        <is>
          <t>GORENGAN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</row>
    <row r="221">
      <c r="A221" s="3">
        <f>"GR08"</f>
        <v/>
      </c>
      <c r="B221" s="3" t="inlineStr">
        <is>
          <t>Gelas Singaraja Libra</t>
        </is>
      </c>
      <c r="C221" s="3" t="inlineStr">
        <is>
          <t>GORENGAN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</row>
    <row r="222">
      <c r="A222" s="3">
        <f>"GR09"</f>
        <v/>
      </c>
      <c r="B222" s="3" t="inlineStr">
        <is>
          <t>Gelas Old fashion</t>
        </is>
      </c>
      <c r="C222" s="3" t="inlineStr">
        <is>
          <t>GORENGAN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</row>
    <row r="223">
      <c r="A223" s="3">
        <f>"GR10"</f>
        <v/>
      </c>
      <c r="B223" s="3" t="inlineStr">
        <is>
          <t>Cireng</t>
        </is>
      </c>
      <c r="C223" s="3" t="inlineStr">
        <is>
          <t>GORENGAN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</row>
    <row r="224">
      <c r="A224" s="3">
        <f>"HD01"</f>
        <v/>
      </c>
      <c r="B224" s="3" t="inlineStr">
        <is>
          <t>Kaos Orang Tua</t>
        </is>
      </c>
      <c r="C224" s="3" t="inlineStr">
        <is>
          <t>HADIAH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</row>
    <row r="225">
      <c r="A225" s="3">
        <f>"HD02"</f>
        <v/>
      </c>
      <c r="B225" s="3" t="inlineStr">
        <is>
          <t>Kaos Uncle Hook</t>
        </is>
      </c>
      <c r="C225" s="3" t="inlineStr">
        <is>
          <t>HADIAH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</row>
    <row r="226">
      <c r="A226" s="3">
        <f>"HD03"</f>
        <v/>
      </c>
      <c r="B226" s="3" t="inlineStr">
        <is>
          <t>Kaos  Captain Morgan</t>
        </is>
      </c>
      <c r="C226" s="3" t="inlineStr">
        <is>
          <t>HADIAH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</row>
    <row r="227">
      <c r="A227" s="3">
        <f>"HD04"</f>
        <v/>
      </c>
      <c r="B227" s="3" t="inlineStr">
        <is>
          <t>Kaos Balihai</t>
        </is>
      </c>
      <c r="C227" s="3" t="inlineStr">
        <is>
          <t>HADIAH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</row>
    <row r="228">
      <c r="A228" s="3">
        <f>"HD05"</f>
        <v/>
      </c>
      <c r="B228" s="3" t="inlineStr">
        <is>
          <t>Kaos Royal Brewhouse</t>
        </is>
      </c>
      <c r="C228" s="3" t="inlineStr">
        <is>
          <t>HADIAH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</row>
    <row r="229">
      <c r="A229" s="3">
        <f>"HD06"</f>
        <v/>
      </c>
      <c r="B229" s="3" t="inlineStr">
        <is>
          <t>Kaos Kuda Putih</t>
        </is>
      </c>
      <c r="C229" s="3" t="inlineStr">
        <is>
          <t>HADIAH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</row>
    <row r="230">
      <c r="A230" s="3">
        <f>"HD07"</f>
        <v/>
      </c>
      <c r="B230" s="3" t="inlineStr">
        <is>
          <t>Kaos Draft</t>
        </is>
      </c>
      <c r="C230" s="3" t="inlineStr">
        <is>
          <t>HADIAH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</row>
    <row r="231">
      <c r="A231" s="3">
        <f>"HD08"</f>
        <v/>
      </c>
      <c r="B231" s="3" t="inlineStr">
        <is>
          <t>Kaos Friendship</t>
        </is>
      </c>
      <c r="C231" s="3" t="inlineStr">
        <is>
          <t>HADIAH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</row>
    <row r="232">
      <c r="A232" s="3">
        <f>"HD09"</f>
        <v/>
      </c>
      <c r="B232" s="3" t="inlineStr">
        <is>
          <t>Sloki Jinro</t>
        </is>
      </c>
      <c r="C232" s="3" t="inlineStr">
        <is>
          <t>HADIAH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</row>
    <row r="233">
      <c r="A233" s="3">
        <f>"HD10"</f>
        <v/>
      </c>
      <c r="B233" s="3" t="inlineStr">
        <is>
          <t>Sloki Amer</t>
        </is>
      </c>
      <c r="C233" s="3" t="inlineStr">
        <is>
          <t>HADIAH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</row>
    <row r="234">
      <c r="A234" s="3">
        <f>"HD11"</f>
        <v/>
      </c>
      <c r="B234" s="3" t="inlineStr">
        <is>
          <t>Sloki Wija</t>
        </is>
      </c>
      <c r="C234" s="3" t="inlineStr">
        <is>
          <t>HADIAH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</row>
    <row r="235">
      <c r="A235" s="3">
        <f>"HD12"</f>
        <v/>
      </c>
      <c r="B235" s="3" t="inlineStr">
        <is>
          <t>Sloki Happy Soju</t>
        </is>
      </c>
      <c r="C235" s="3" t="inlineStr">
        <is>
          <t>HADIAH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</row>
    <row r="236">
      <c r="A236" s="3">
        <f>"HD13"</f>
        <v/>
      </c>
      <c r="B236" s="3" t="inlineStr">
        <is>
          <t>Sloki Royal Brewhouse</t>
        </is>
      </c>
      <c r="C236" s="3" t="inlineStr">
        <is>
          <t>HADIAH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</row>
    <row r="237">
      <c r="A237" s="3">
        <f>"HD14"</f>
        <v/>
      </c>
      <c r="B237" s="3" t="inlineStr">
        <is>
          <t>Sloki Blue Agave</t>
        </is>
      </c>
      <c r="C237" s="3" t="inlineStr">
        <is>
          <t>HADIAH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</row>
    <row r="238">
      <c r="A238" s="3">
        <f>"HD15"</f>
        <v/>
      </c>
      <c r="B238" s="3" t="inlineStr">
        <is>
          <t>Sloki Joker</t>
        </is>
      </c>
      <c r="C238" s="3" t="inlineStr">
        <is>
          <t>HADIAH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</row>
    <row r="239">
      <c r="A239" s="3">
        <f>"HD16"</f>
        <v/>
      </c>
      <c r="B239" s="3" t="inlineStr">
        <is>
          <t>Sloki Cloud Seven</t>
        </is>
      </c>
      <c r="C239" s="3" t="inlineStr">
        <is>
          <t>HADIAH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r="240">
      <c r="A240" s="3">
        <f>"HD17"</f>
        <v/>
      </c>
      <c r="B240" s="3" t="inlineStr">
        <is>
          <t>Gelas Anker</t>
        </is>
      </c>
      <c r="C240" s="3" t="inlineStr">
        <is>
          <t>HADIAH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</row>
    <row r="241">
      <c r="A241" s="3">
        <f>"HD18"</f>
        <v/>
      </c>
      <c r="B241" s="3" t="inlineStr">
        <is>
          <t>Gelas Singa Raja</t>
        </is>
      </c>
      <c r="C241" s="3" t="inlineStr">
        <is>
          <t>HADIAH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</row>
    <row r="242">
      <c r="A242" s="3">
        <f>"HD19"</f>
        <v/>
      </c>
      <c r="B242" s="3" t="inlineStr">
        <is>
          <t>Gantungan Kunci Jinro</t>
        </is>
      </c>
      <c r="C242" s="3" t="inlineStr">
        <is>
          <t>HADIAH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</row>
    <row r="243">
      <c r="A243" s="3">
        <f>"HD20"</f>
        <v/>
      </c>
      <c r="B243" s="3" t="inlineStr">
        <is>
          <t>Stiker Jinro</t>
        </is>
      </c>
      <c r="C243" s="3" t="inlineStr">
        <is>
          <t>HADIAH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</row>
    <row r="244">
      <c r="A244" s="3">
        <f>"HD21"</f>
        <v/>
      </c>
      <c r="B244" s="3" t="inlineStr">
        <is>
          <t>Korek Royal Brewhouse</t>
        </is>
      </c>
      <c r="C244" s="3" t="inlineStr">
        <is>
          <t>HADIAH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</row>
    <row r="245">
      <c r="A245" s="3">
        <f>"HD22"</f>
        <v/>
      </c>
      <c r="B245" s="3" t="inlineStr">
        <is>
          <t>Korek Kawa Kawa</t>
        </is>
      </c>
      <c r="C245" s="3" t="inlineStr">
        <is>
          <t>HADIAH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</row>
    <row r="246">
      <c r="A246" s="3">
        <f>"HD23"</f>
        <v/>
      </c>
      <c r="B246" s="3" t="inlineStr">
        <is>
          <t>Korek Cloud Seven</t>
        </is>
      </c>
      <c r="C246" s="3" t="inlineStr">
        <is>
          <t>HADIAH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</row>
    <row r="247">
      <c r="A247" s="3">
        <f>"HD24"</f>
        <v/>
      </c>
      <c r="B247" s="3" t="inlineStr">
        <is>
          <t>Korek API dan Amer</t>
        </is>
      </c>
      <c r="C247" s="3" t="inlineStr">
        <is>
          <t>HADIAH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</row>
    <row r="248">
      <c r="A248" s="3">
        <f>"HD25"</f>
        <v/>
      </c>
      <c r="B248" s="3" t="inlineStr">
        <is>
          <t>Korek Draft</t>
        </is>
      </c>
      <c r="C248" s="3" t="inlineStr">
        <is>
          <t>HADIAH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</row>
    <row r="249">
      <c r="A249" s="3">
        <f>"HD26"</f>
        <v/>
      </c>
      <c r="B249" s="3" t="inlineStr">
        <is>
          <t>Topi Draft</t>
        </is>
      </c>
      <c r="C249" s="3" t="inlineStr">
        <is>
          <t>HADIAH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</row>
    <row r="250">
      <c r="A250" s="3">
        <f>"HD27"</f>
        <v/>
      </c>
      <c r="B250" s="3" t="inlineStr">
        <is>
          <t>Topi Rockstar</t>
        </is>
      </c>
      <c r="C250" s="3" t="inlineStr">
        <is>
          <t>HADIAH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</row>
    <row r="251">
      <c r="A251" s="3">
        <f>"HD28"</f>
        <v/>
      </c>
      <c r="B251" s="3" t="inlineStr">
        <is>
          <t>Topi Suntory</t>
        </is>
      </c>
      <c r="C251" s="3" t="inlineStr">
        <is>
          <t>HADIAH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</row>
    <row r="252">
      <c r="A252" s="3">
        <f>"HD29"</f>
        <v/>
      </c>
      <c r="B252" s="3" t="inlineStr">
        <is>
          <t>Sloki Vibe</t>
        </is>
      </c>
      <c r="C252" s="3" t="inlineStr">
        <is>
          <t>HADIAH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</row>
    <row r="253">
      <c r="A253" s="3">
        <f>"HD30"</f>
        <v/>
      </c>
      <c r="B253" s="3" t="inlineStr">
        <is>
          <t>Alas Gelas Jinro</t>
        </is>
      </c>
      <c r="C253" s="3" t="inlineStr">
        <is>
          <t>HADIAH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</row>
    <row r="254">
      <c r="A254" s="3">
        <f>"HD31"</f>
        <v/>
      </c>
      <c r="B254" s="3" t="inlineStr">
        <is>
          <t>Tas Spunbond Anker</t>
        </is>
      </c>
      <c r="C254" s="3" t="inlineStr">
        <is>
          <t>HADIAH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</row>
    <row r="255">
      <c r="A255" s="3">
        <f>"HD32"</f>
        <v/>
      </c>
      <c r="B255" s="3" t="inlineStr">
        <is>
          <t>Tas Spunbond SJ Kecil</t>
        </is>
      </c>
      <c r="C255" s="3" t="inlineStr">
        <is>
          <t>HADIAH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</row>
    <row r="256">
      <c r="A256" s="3">
        <f>"HD33"</f>
        <v/>
      </c>
      <c r="B256" s="3" t="inlineStr">
        <is>
          <t>Tas Spunbond SJ Tanggung</t>
        </is>
      </c>
      <c r="C256" s="3" t="inlineStr">
        <is>
          <t>HADIAH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r="257">
      <c r="A257" s="3">
        <f>"HD34"</f>
        <v/>
      </c>
      <c r="B257" s="3" t="inlineStr">
        <is>
          <t>Tas Spunbond SJ Besar</t>
        </is>
      </c>
      <c r="C257" s="3" t="inlineStr">
        <is>
          <t>HADIAH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</row>
    <row r="258">
      <c r="A258" s="3">
        <f>"HD35"</f>
        <v/>
      </c>
      <c r="B258" s="3" t="inlineStr">
        <is>
          <t>Tas Spunbond Jinro</t>
        </is>
      </c>
      <c r="C258" s="3" t="inlineStr">
        <is>
          <t>HADIAH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</row>
    <row r="259">
      <c r="A259" s="3">
        <f>"HD36"</f>
        <v/>
      </c>
      <c r="B259" s="3" t="inlineStr">
        <is>
          <t>Tas Anker Kecil</t>
        </is>
      </c>
      <c r="C259" s="3" t="inlineStr">
        <is>
          <t>HADIAH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</row>
    <row r="260">
      <c r="A260" s="3">
        <f>"HD37"</f>
        <v/>
      </c>
      <c r="B260" s="3" t="inlineStr">
        <is>
          <t>Tumbler Inah</t>
        </is>
      </c>
      <c r="C260" s="3" t="inlineStr">
        <is>
          <t>HADIAH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</row>
    <row r="261">
      <c r="A261" s="3">
        <f>"HD38"</f>
        <v/>
      </c>
      <c r="B261" s="3" t="inlineStr">
        <is>
          <t>Tumbler Jinro</t>
        </is>
      </c>
      <c r="C261" s="3" t="inlineStr">
        <is>
          <t>HADIAH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</row>
    <row r="262">
      <c r="A262" s="3">
        <f>"HD39"</f>
        <v/>
      </c>
      <c r="B262" s="3" t="inlineStr">
        <is>
          <t>Toples Blue Agave</t>
        </is>
      </c>
      <c r="C262" s="3" t="inlineStr">
        <is>
          <t>HADIAH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</row>
    <row r="263">
      <c r="A263" s="3">
        <f>"HD40"</f>
        <v/>
      </c>
      <c r="B263" s="3" t="inlineStr">
        <is>
          <t>Korek Joker</t>
        </is>
      </c>
      <c r="C263" s="3" t="inlineStr">
        <is>
          <t>HADIAH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</row>
    <row r="264">
      <c r="A264" s="3">
        <f>"HD41"</f>
        <v/>
      </c>
      <c r="B264" s="3" t="inlineStr">
        <is>
          <t>Gelas Wine Api</t>
        </is>
      </c>
      <c r="C264" s="3" t="inlineStr">
        <is>
          <t>HADIAH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</row>
    <row r="265">
      <c r="A265" s="3">
        <f>"HD42"</f>
        <v/>
      </c>
      <c r="B265" s="3" t="inlineStr">
        <is>
          <t>Toples Sababay</t>
        </is>
      </c>
      <c r="C265" s="3" t="inlineStr">
        <is>
          <t>HADIAH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</row>
    <row r="266">
      <c r="A266" s="3">
        <f>"HD43"</f>
        <v/>
      </c>
      <c r="B266" s="3" t="inlineStr">
        <is>
          <t>Sloki Iceland</t>
        </is>
      </c>
      <c r="C266" s="3" t="inlineStr">
        <is>
          <t>HADIAH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</row>
    <row r="267">
      <c r="A267" s="3">
        <f>"HD44"</f>
        <v/>
      </c>
      <c r="B267" s="3" t="inlineStr">
        <is>
          <t>Kaos Singaraja</t>
        </is>
      </c>
      <c r="C267" s="3" t="inlineStr">
        <is>
          <t>HADIAH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</row>
    <row r="268">
      <c r="A268" s="3">
        <f>"IM 001"</f>
        <v/>
      </c>
      <c r="B268" s="3" t="inlineStr">
        <is>
          <t>Red label johnnie walker</t>
        </is>
      </c>
      <c r="C268" s="3" t="inlineStr">
        <is>
          <t>IMPOR</t>
        </is>
      </c>
      <c r="D268" s="3" t="n">
        <v>7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7</v>
      </c>
    </row>
    <row r="269">
      <c r="A269" s="3">
        <f>"IM 002"</f>
        <v/>
      </c>
      <c r="B269" s="3" t="inlineStr">
        <is>
          <t>Jack Daniels No.7</t>
        </is>
      </c>
      <c r="C269" s="3" t="inlineStr">
        <is>
          <t>IMPOR</t>
        </is>
      </c>
      <c r="D269" s="3" t="n">
        <v>3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3</v>
      </c>
    </row>
    <row r="270">
      <c r="A270" s="3">
        <f>"IM 003"</f>
        <v/>
      </c>
      <c r="B270" s="3" t="inlineStr">
        <is>
          <t>Jose Cuervo Reposado Tequila</t>
        </is>
      </c>
      <c r="C270" s="3" t="inlineStr">
        <is>
          <t>IMPOR</t>
        </is>
      </c>
      <c r="D270" s="3" t="n">
        <v>6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6</v>
      </c>
    </row>
    <row r="271">
      <c r="A271" s="3">
        <f>"IM 004"</f>
        <v/>
      </c>
      <c r="B271" s="3" t="inlineStr">
        <is>
          <t>Jameson Irish Whiskey 700ml</t>
        </is>
      </c>
      <c r="C271" s="3" t="inlineStr">
        <is>
          <t>IMPOR</t>
        </is>
      </c>
      <c r="D271" s="3" t="n">
        <v>3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</v>
      </c>
    </row>
    <row r="272">
      <c r="A272" s="3">
        <f>"IM 005"</f>
        <v/>
      </c>
      <c r="B272" s="3" t="inlineStr">
        <is>
          <t>Singleton 12 GO</t>
        </is>
      </c>
      <c r="C272" s="3" t="inlineStr">
        <is>
          <t>IMPOR</t>
        </is>
      </c>
      <c r="D272" s="3" t="n">
        <v>3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3</v>
      </c>
    </row>
    <row r="273">
      <c r="A273" s="3">
        <f>"IM 006"</f>
        <v/>
      </c>
      <c r="B273" s="3" t="inlineStr">
        <is>
          <t>Jagermeister 700ml</t>
        </is>
      </c>
      <c r="C273" s="3" t="inlineStr">
        <is>
          <t>IMPOR</t>
        </is>
      </c>
      <c r="D273" s="3" t="n">
        <v>6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6</v>
      </c>
    </row>
    <row r="274">
      <c r="A274" s="3">
        <f>"IM 007"</f>
        <v/>
      </c>
      <c r="B274" s="3" t="inlineStr">
        <is>
          <t>Black label johnnie walker</t>
        </is>
      </c>
      <c r="C274" s="3" t="inlineStr">
        <is>
          <t>IMPOR</t>
        </is>
      </c>
      <c r="D274" s="3" t="n">
        <v>2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2</v>
      </c>
    </row>
    <row r="275">
      <c r="A275" s="3">
        <f>"IM 008"</f>
        <v/>
      </c>
      <c r="B275" s="3" t="inlineStr">
        <is>
          <t>Hennessy Vsop</t>
        </is>
      </c>
      <c r="C275" s="3" t="inlineStr">
        <is>
          <t>IMPOR</t>
        </is>
      </c>
      <c r="D275" s="3" t="n">
        <v>2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</v>
      </c>
    </row>
    <row r="276">
      <c r="A276" s="3">
        <f>"IM 009"</f>
        <v/>
      </c>
      <c r="B276" s="3" t="inlineStr">
        <is>
          <t>Martell Vsop</t>
        </is>
      </c>
      <c r="C276" s="3" t="inlineStr">
        <is>
          <t>IMPOR</t>
        </is>
      </c>
      <c r="D276" s="3" t="n">
        <v>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2</v>
      </c>
    </row>
    <row r="277">
      <c r="A277" s="3">
        <f>"IM 010"</f>
        <v/>
      </c>
      <c r="B277" s="3" t="inlineStr">
        <is>
          <t>Chivas Regal 12</t>
        </is>
      </c>
      <c r="C277" s="3" t="inlineStr">
        <is>
          <t>IMPOR</t>
        </is>
      </c>
      <c r="D277" s="3" t="n">
        <v>3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3</v>
      </c>
    </row>
    <row r="278">
      <c r="A278" s="3">
        <f>"IM 011"</f>
        <v/>
      </c>
      <c r="B278" s="3" t="inlineStr">
        <is>
          <t>Jack Daniels Apple</t>
        </is>
      </c>
      <c r="C278" s="3" t="inlineStr">
        <is>
          <t>IMPOR</t>
        </is>
      </c>
      <c r="D278" s="3" t="n">
        <v>1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</v>
      </c>
    </row>
    <row r="279">
      <c r="A279" s="3">
        <f>"IM 012"</f>
        <v/>
      </c>
      <c r="B279" s="3" t="inlineStr">
        <is>
          <t>Jack Daniels Honey</t>
        </is>
      </c>
      <c r="C279" s="3" t="inlineStr">
        <is>
          <t>IMPOR</t>
        </is>
      </c>
      <c r="D279" s="3" t="n">
        <v>1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</v>
      </c>
    </row>
    <row r="280">
      <c r="A280" s="3">
        <f>"IM 013"</f>
        <v/>
      </c>
      <c r="B280" s="3" t="inlineStr">
        <is>
          <t>Monkey Shoulder</t>
        </is>
      </c>
      <c r="C280" s="3" t="inlineStr">
        <is>
          <t>IMPOR</t>
        </is>
      </c>
      <c r="D280" s="3" t="n">
        <v>3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3</v>
      </c>
    </row>
    <row r="281">
      <c r="A281" s="3">
        <f>"IM 014"</f>
        <v/>
      </c>
      <c r="B281" s="3" t="inlineStr">
        <is>
          <t>Cointreau</t>
        </is>
      </c>
      <c r="C281" s="3" t="inlineStr">
        <is>
          <t>IMPOR</t>
        </is>
      </c>
      <c r="D281" s="3" t="n">
        <v>3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3</v>
      </c>
    </row>
    <row r="282">
      <c r="A282" s="3">
        <f>"IM 015"</f>
        <v/>
      </c>
      <c r="B282" s="3" t="inlineStr">
        <is>
          <t>Grey Goose Vodka</t>
        </is>
      </c>
      <c r="C282" s="3" t="inlineStr">
        <is>
          <t>IMPOR</t>
        </is>
      </c>
      <c r="D282" s="3" t="n">
        <v>1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</v>
      </c>
    </row>
    <row r="283">
      <c r="A283" s="3">
        <f>"IM 016"</f>
        <v/>
      </c>
      <c r="B283" s="3" t="inlineStr">
        <is>
          <t>Absolut Vodka</t>
        </is>
      </c>
      <c r="C283" s="3" t="inlineStr">
        <is>
          <t>IMPOR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</row>
    <row r="284">
      <c r="A284" s="3">
        <f>"IM 017"</f>
        <v/>
      </c>
      <c r="B284" s="3" t="inlineStr">
        <is>
          <t>Suntory Whisky</t>
        </is>
      </c>
      <c r="C284" s="3" t="inlineStr">
        <is>
          <t>IMPOR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</v>
      </c>
    </row>
    <row r="285">
      <c r="A285" s="3">
        <f>"IM 018"</f>
        <v/>
      </c>
      <c r="B285" s="3" t="inlineStr">
        <is>
          <t>Jim Beam White</t>
        </is>
      </c>
      <c r="C285" s="3" t="inlineStr">
        <is>
          <t>IMPOR</t>
        </is>
      </c>
      <c r="D285" s="3" t="n">
        <v>2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2</v>
      </c>
    </row>
    <row r="286">
      <c r="A286" s="3">
        <f>"IM 019"</f>
        <v/>
      </c>
      <c r="B286" s="3" t="inlineStr">
        <is>
          <t>Jim Beam Apple</t>
        </is>
      </c>
      <c r="C286" s="3" t="inlineStr">
        <is>
          <t>IMPOR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</row>
    <row r="287">
      <c r="A287" s="3">
        <f>"IM 020"</f>
        <v/>
      </c>
      <c r="B287" s="3" t="inlineStr">
        <is>
          <t>Jim Beam Black</t>
        </is>
      </c>
      <c r="C287" s="3" t="inlineStr">
        <is>
          <t>IMPOR</t>
        </is>
      </c>
      <c r="D287" s="3" t="n">
        <v>2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2</v>
      </c>
    </row>
    <row r="288">
      <c r="A288" s="3">
        <f>"IM 021"</f>
        <v/>
      </c>
      <c r="B288" s="3" t="inlineStr">
        <is>
          <t>Southern Comfort Black</t>
        </is>
      </c>
      <c r="C288" s="3" t="inlineStr">
        <is>
          <t>IMPOR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</row>
    <row r="289">
      <c r="A289" s="3">
        <f>"IM 022"</f>
        <v/>
      </c>
      <c r="B289" s="3" t="inlineStr">
        <is>
          <t>Smith Woodhouse Ruby</t>
        </is>
      </c>
      <c r="C289" s="3" t="inlineStr">
        <is>
          <t>IMPOR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</row>
    <row r="290">
      <c r="A290" s="3">
        <f>"IM 023"</f>
        <v/>
      </c>
      <c r="B290" s="3" t="inlineStr">
        <is>
          <t>Roche Mazet Grenache</t>
        </is>
      </c>
      <c r="C290" s="3" t="inlineStr">
        <is>
          <t>IMPOR</t>
        </is>
      </c>
      <c r="D290" s="3" t="n">
        <v>1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</v>
      </c>
    </row>
    <row r="291">
      <c r="A291" s="3">
        <f>"IM 024"</f>
        <v/>
      </c>
      <c r="B291" s="3" t="inlineStr">
        <is>
          <t>Cousino Macul Merlot</t>
        </is>
      </c>
      <c r="C291" s="3" t="inlineStr">
        <is>
          <t>IMPOR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</row>
    <row r="292">
      <c r="A292" s="3">
        <f>"IM 025"</f>
        <v/>
      </c>
      <c r="B292" s="3" t="inlineStr">
        <is>
          <t>Cousino Macul Syrah</t>
        </is>
      </c>
      <c r="C292" s="3" t="inlineStr">
        <is>
          <t>IMPOR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</row>
    <row r="293">
      <c r="A293" s="3">
        <f>"IM 026"</f>
        <v/>
      </c>
      <c r="B293" s="3" t="inlineStr">
        <is>
          <t>Cousino Macul Cabernet Sauvignon</t>
        </is>
      </c>
      <c r="C293" s="3" t="inlineStr">
        <is>
          <t>IMPOR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</row>
    <row r="294">
      <c r="A294" s="3">
        <f>"IM 027"</f>
        <v/>
      </c>
      <c r="B294" s="3" t="inlineStr">
        <is>
          <t>Cousino Macul Antiguas Reservas</t>
        </is>
      </c>
      <c r="C294" s="3" t="inlineStr">
        <is>
          <t>IMPOR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</row>
    <row r="295">
      <c r="A295" s="3">
        <f>"IM 028"</f>
        <v/>
      </c>
      <c r="B295" s="3" t="inlineStr">
        <is>
          <t>Roku Gin</t>
        </is>
      </c>
      <c r="C295" s="3" t="inlineStr">
        <is>
          <t>IMPOR</t>
        </is>
      </c>
      <c r="D295" s="3" t="n">
        <v>3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</v>
      </c>
    </row>
    <row r="296">
      <c r="A296" s="3">
        <f>"IM 029"</f>
        <v/>
      </c>
      <c r="B296" s="3" t="inlineStr">
        <is>
          <t>Clase Azul Tequila 750ml</t>
        </is>
      </c>
      <c r="C296" s="3" t="inlineStr">
        <is>
          <t>IMPOR</t>
        </is>
      </c>
      <c r="D296" s="3" t="n">
        <v>1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</v>
      </c>
    </row>
    <row r="297">
      <c r="A297" s="3">
        <f>"IM 030"</f>
        <v/>
      </c>
      <c r="B297" s="3" t="inlineStr">
        <is>
          <t>Belenkaya Gold Vodka</t>
        </is>
      </c>
      <c r="C297" s="3" t="inlineStr">
        <is>
          <t>IMPOR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</row>
    <row r="298">
      <c r="A298" s="3">
        <f>"IM 031"</f>
        <v/>
      </c>
      <c r="B298" s="3" t="inlineStr">
        <is>
          <t>DB Willowglen Moscato</t>
        </is>
      </c>
      <c r="C298" s="3" t="inlineStr">
        <is>
          <t>IMPOR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</row>
    <row r="299">
      <c r="A299" s="3">
        <f>"IM 032"</f>
        <v/>
      </c>
      <c r="B299" s="3" t="inlineStr">
        <is>
          <t>Frontera Conch Y Tor harvest</t>
        </is>
      </c>
      <c r="C299" s="3" t="inlineStr">
        <is>
          <t>IMPOR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</row>
    <row r="300">
      <c r="A300" s="3">
        <f>"IM 033"</f>
        <v/>
      </c>
      <c r="B300" s="3" t="inlineStr">
        <is>
          <t>Rocaforte lambrusco Rosso</t>
        </is>
      </c>
      <c r="C300" s="3" t="inlineStr">
        <is>
          <t>IMPOR</t>
        </is>
      </c>
      <c r="D300" s="3" t="n">
        <v>3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</v>
      </c>
    </row>
    <row r="301">
      <c r="A301" s="3">
        <f>"IM 034"</f>
        <v/>
      </c>
      <c r="B301" s="3" t="inlineStr">
        <is>
          <t>Santa Rita 120 Reserva Cabernet S</t>
        </is>
      </c>
      <c r="C301" s="3" t="inlineStr">
        <is>
          <t>IMPOR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</row>
    <row r="302">
      <c r="A302" s="3">
        <f>"IM 035"</f>
        <v/>
      </c>
      <c r="B302" s="3" t="inlineStr">
        <is>
          <t>The Accomplice Sweet</t>
        </is>
      </c>
      <c r="C302" s="3" t="inlineStr">
        <is>
          <t>IMPOR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</row>
    <row r="303">
      <c r="A303" s="3">
        <f>"IM 036"</f>
        <v/>
      </c>
      <c r="B303" s="3" t="inlineStr">
        <is>
          <t>Hotel Starlino Moscato Rosato</t>
        </is>
      </c>
      <c r="C303" s="3" t="inlineStr">
        <is>
          <t>IMPOR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</row>
    <row r="304">
      <c r="A304" s="3">
        <f>"IM 037"</f>
        <v/>
      </c>
      <c r="B304" s="3" t="inlineStr">
        <is>
          <t>Pecha Kucha</t>
        </is>
      </c>
      <c r="C304" s="3" t="inlineStr">
        <is>
          <t>IMPOR</t>
        </is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</row>
    <row r="305">
      <c r="A305" s="3">
        <f>"IM 038"</f>
        <v/>
      </c>
      <c r="B305" s="3" t="inlineStr">
        <is>
          <t>Baileys Irish Cream 700ml</t>
        </is>
      </c>
      <c r="C305" s="3" t="inlineStr">
        <is>
          <t>IMPOR</t>
        </is>
      </c>
      <c r="D305" s="3" t="n">
        <v>1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4</v>
      </c>
    </row>
    <row r="306">
      <c r="A306" s="3">
        <f>"IM 039"</f>
        <v/>
      </c>
      <c r="B306" s="3" t="inlineStr">
        <is>
          <t>Baileys Strawberries Cream 700ml</t>
        </is>
      </c>
      <c r="C306" s="3" t="inlineStr">
        <is>
          <t>IMPOR</t>
        </is>
      </c>
      <c r="D306" s="3" t="n">
        <v>3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3</v>
      </c>
    </row>
    <row r="307">
      <c r="A307" s="3">
        <f>"IM 040"</f>
        <v/>
      </c>
      <c r="B307" s="3" t="inlineStr">
        <is>
          <t>Baileys Espresso Creme 1ltr</t>
        </is>
      </c>
      <c r="C307" s="3" t="inlineStr">
        <is>
          <t>IMPOR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</row>
    <row r="308">
      <c r="A308" s="3">
        <f>"IM 041"</f>
        <v/>
      </c>
      <c r="B308" s="3" t="inlineStr">
        <is>
          <t>Baileys Salted Caramel 1ltr</t>
        </is>
      </c>
      <c r="C308" s="3" t="inlineStr">
        <is>
          <t>IMPOR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</row>
    <row r="309">
      <c r="A309" s="3">
        <f>"IM 042"</f>
        <v/>
      </c>
      <c r="B309" s="3" t="inlineStr">
        <is>
          <t>Baileys Chocolat Luxe 500ml</t>
        </is>
      </c>
      <c r="C309" s="3" t="inlineStr">
        <is>
          <t>IMPOR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</row>
    <row r="310">
      <c r="A310" s="3">
        <f>"IM 043"</f>
        <v/>
      </c>
      <c r="B310" s="3" t="inlineStr">
        <is>
          <t>Handpicked Moscato Dasti</t>
        </is>
      </c>
      <c r="C310" s="3" t="inlineStr">
        <is>
          <t>IMPOR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</row>
    <row r="311">
      <c r="A311" s="3">
        <f>"IM 044"</f>
        <v/>
      </c>
      <c r="B311" s="3" t="inlineStr">
        <is>
          <t>Santa Julia Cabernet Sauvignon</t>
        </is>
      </c>
      <c r="C311" s="3" t="inlineStr">
        <is>
          <t>IMPOR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</row>
    <row r="312">
      <c r="A312" s="3">
        <f>"IM 045"</f>
        <v/>
      </c>
      <c r="B312" s="3" t="inlineStr">
        <is>
          <t>Santa Julia Malbec</t>
        </is>
      </c>
      <c r="C312" s="3" t="inlineStr">
        <is>
          <t>IMPOR</t>
        </is>
      </c>
      <c r="D312" s="3" t="n">
        <v>1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</v>
      </c>
    </row>
    <row r="313">
      <c r="A313" s="3">
        <f>"IM 046"</f>
        <v/>
      </c>
      <c r="B313" s="3" t="inlineStr">
        <is>
          <t>Santa Julia Sweet Sparkling</t>
        </is>
      </c>
      <c r="C313" s="3" t="inlineStr">
        <is>
          <t>IMPOR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</row>
    <row r="314">
      <c r="A314" s="3">
        <f>"IM 047"</f>
        <v/>
      </c>
      <c r="B314" s="3" t="inlineStr">
        <is>
          <t>Santa Julia Tintillo Malbec</t>
        </is>
      </c>
      <c r="C314" s="3" t="inlineStr">
        <is>
          <t>IMPOR</t>
        </is>
      </c>
      <c r="D314" s="3" t="n">
        <v>1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</v>
      </c>
    </row>
    <row r="315">
      <c r="A315" s="3">
        <f>"IM 048"</f>
        <v/>
      </c>
      <c r="B315" s="3" t="inlineStr">
        <is>
          <t>Two Eights Classic Cabernet</t>
        </is>
      </c>
      <c r="C315" s="3" t="inlineStr">
        <is>
          <t>IMPOR</t>
        </is>
      </c>
      <c r="D315" s="3" t="n">
        <v>1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</v>
      </c>
    </row>
    <row r="316">
      <c r="A316" s="3">
        <f>"IM 049"</f>
        <v/>
      </c>
      <c r="B316" s="3" t="inlineStr">
        <is>
          <t>Two Eights Classic Merlot</t>
        </is>
      </c>
      <c r="C316" s="3" t="inlineStr">
        <is>
          <t>IMPOR</t>
        </is>
      </c>
      <c r="D316" s="3" t="n">
        <v>1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1</v>
      </c>
    </row>
    <row r="317">
      <c r="A317" s="3">
        <f>"IM 050"</f>
        <v/>
      </c>
      <c r="B317" s="3" t="inlineStr">
        <is>
          <t>Two Eights Classic Semillion</t>
        </is>
      </c>
      <c r="C317" s="3" t="inlineStr">
        <is>
          <t>IMPOR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</row>
    <row r="318">
      <c r="A318" s="3">
        <f>"IM 051"</f>
        <v/>
      </c>
      <c r="B318" s="3" t="inlineStr">
        <is>
          <t>Two Eights Classic Shiraz</t>
        </is>
      </c>
      <c r="C318" s="3" t="inlineStr">
        <is>
          <t>IMPOR</t>
        </is>
      </c>
      <c r="D318" s="3" t="n">
        <v>1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1</v>
      </c>
    </row>
    <row r="319">
      <c r="A319" s="3">
        <f>"IM 052"</f>
        <v/>
      </c>
      <c r="B319" s="3" t="inlineStr">
        <is>
          <t>Roche Mazet Merlot</t>
        </is>
      </c>
      <c r="C319" s="3" t="inlineStr">
        <is>
          <t>IMPOR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</row>
    <row r="320">
      <c r="A320" s="3">
        <f>"IM 053"</f>
        <v/>
      </c>
      <c r="B320" s="3" t="inlineStr">
        <is>
          <t>Hotel Starlino Orange Aperitivo</t>
        </is>
      </c>
      <c r="C320" s="3" t="inlineStr">
        <is>
          <t>IMPOR</t>
        </is>
      </c>
      <c r="D320" s="3" t="n">
        <v>1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</v>
      </c>
    </row>
    <row r="321">
      <c r="A321" s="3">
        <f>"IM 054"</f>
        <v/>
      </c>
      <c r="B321" s="3" t="inlineStr">
        <is>
          <t>Hotel Starlino Rose Aperitivo</t>
        </is>
      </c>
      <c r="C321" s="3" t="inlineStr">
        <is>
          <t>IMPOR</t>
        </is>
      </c>
      <c r="D321" s="3" t="n">
        <v>1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</v>
      </c>
    </row>
    <row r="322">
      <c r="A322" s="3">
        <f>"IM 055"</f>
        <v/>
      </c>
      <c r="B322" s="3" t="inlineStr">
        <is>
          <t>Hotel Starlino Rosso Vermouth</t>
        </is>
      </c>
      <c r="C322" s="3" t="inlineStr">
        <is>
          <t>IMPOR</t>
        </is>
      </c>
      <c r="D322" s="3" t="n">
        <v>1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</row>
    <row r="323">
      <c r="A323" s="3">
        <f>"IM 056"</f>
        <v/>
      </c>
      <c r="B323" s="3" t="inlineStr">
        <is>
          <t>Black label Gift Pack</t>
        </is>
      </c>
      <c r="C323" s="3" t="inlineStr">
        <is>
          <t>IMPOR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</row>
    <row r="324">
      <c r="A324" s="3">
        <f>"IM 057"</f>
        <v/>
      </c>
      <c r="B324" s="3" t="inlineStr">
        <is>
          <t>Gold Label JW</t>
        </is>
      </c>
      <c r="C324" s="3" t="inlineStr">
        <is>
          <t>IMPOR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</row>
    <row r="325">
      <c r="A325" s="3">
        <f>"IM 058"</f>
        <v/>
      </c>
      <c r="B325" s="3" t="inlineStr">
        <is>
          <t>7 Hills Sweet Red</t>
        </is>
      </c>
      <c r="C325" s="3" t="inlineStr">
        <is>
          <t>IMPOR</t>
        </is>
      </c>
      <c r="D325" s="3" t="n">
        <v>1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1</v>
      </c>
    </row>
    <row r="326">
      <c r="A326" s="3">
        <f>"IM 059"</f>
        <v/>
      </c>
      <c r="B326" s="3" t="inlineStr">
        <is>
          <t>Bottega Fragolino Rosso</t>
        </is>
      </c>
      <c r="C326" s="3" t="inlineStr">
        <is>
          <t>IMPOR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</row>
    <row r="327">
      <c r="A327" s="3">
        <f>"IM 060"</f>
        <v/>
      </c>
      <c r="B327" s="3" t="inlineStr">
        <is>
          <t>Bottega Negroni Premix</t>
        </is>
      </c>
      <c r="C327" s="3" t="inlineStr">
        <is>
          <t>IMPOR</t>
        </is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</row>
    <row r="328">
      <c r="A328" s="3">
        <f>"IM 061"</f>
        <v/>
      </c>
      <c r="B328" s="3" t="inlineStr">
        <is>
          <t>Bottega Petalo il Vino Moscato</t>
        </is>
      </c>
      <c r="C328" s="3" t="inlineStr">
        <is>
          <t>IMPOR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</row>
    <row r="329">
      <c r="A329" s="3">
        <f>"IM 062"</f>
        <v/>
      </c>
      <c r="B329" s="3" t="inlineStr">
        <is>
          <t>Maison Castel Cabernet</t>
        </is>
      </c>
      <c r="C329" s="3" t="inlineStr">
        <is>
          <t>IMPOR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</row>
    <row r="330">
      <c r="A330" s="3">
        <f>"IM 063"</f>
        <v/>
      </c>
      <c r="B330" s="3" t="inlineStr">
        <is>
          <t>Penfolds Shiraz</t>
        </is>
      </c>
      <c r="C330" s="3" t="inlineStr">
        <is>
          <t>IMPOR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</row>
    <row r="331">
      <c r="A331" s="3">
        <f>"IM 064"</f>
        <v/>
      </c>
      <c r="B331" s="3" t="inlineStr">
        <is>
          <t>Penfolds Shiraz Carbenet</t>
        </is>
      </c>
      <c r="C331" s="3" t="inlineStr">
        <is>
          <t>IMPOR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</row>
    <row r="332">
      <c r="A332" s="3">
        <f>"IM 065"</f>
        <v/>
      </c>
      <c r="B332" s="3" t="inlineStr">
        <is>
          <t>Tenjaku Vodka</t>
        </is>
      </c>
      <c r="C332" s="3" t="inlineStr">
        <is>
          <t>IMPOR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</row>
    <row r="333">
      <c r="A333" s="3">
        <f>"IM 066"</f>
        <v/>
      </c>
      <c r="B333" s="3" t="inlineStr">
        <is>
          <t>Tierra Del Fuego</t>
        </is>
      </c>
      <c r="C333" s="3" t="inlineStr">
        <is>
          <t>IMPOR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</row>
    <row r="334">
      <c r="A334" s="3">
        <f>"IM 067"</f>
        <v/>
      </c>
      <c r="B334" s="3" t="inlineStr">
        <is>
          <t>Tolten Cabernet</t>
        </is>
      </c>
      <c r="C334" s="3" t="inlineStr">
        <is>
          <t>IMPOR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</row>
    <row r="335">
      <c r="A335" s="3">
        <f>"IM 068"</f>
        <v/>
      </c>
      <c r="B335" s="3" t="inlineStr">
        <is>
          <t>Clase Azul Plata</t>
        </is>
      </c>
      <c r="C335" s="3" t="inlineStr">
        <is>
          <t>IMPOR</t>
        </is>
      </c>
      <c r="D335" s="3" t="n">
        <v>1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1</v>
      </c>
    </row>
    <row r="336">
      <c r="A336" s="3">
        <f>"IM 069"</f>
        <v/>
      </c>
      <c r="B336" s="3" t="inlineStr">
        <is>
          <t>Hendricks Gin 700ml</t>
        </is>
      </c>
      <c r="C336" s="3" t="inlineStr">
        <is>
          <t>IMPOR</t>
        </is>
      </c>
      <c r="D336" s="3" t="n">
        <v>1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</v>
      </c>
    </row>
    <row r="337">
      <c r="A337" s="3">
        <f>"IM 070"</f>
        <v/>
      </c>
      <c r="B337" s="3" t="inlineStr">
        <is>
          <t>The Glenlivet 18 YO</t>
        </is>
      </c>
      <c r="C337" s="3" t="inlineStr">
        <is>
          <t>IMPOR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</row>
    <row r="338">
      <c r="A338" s="3">
        <f>"IM 071"</f>
        <v/>
      </c>
      <c r="B338" s="3" t="inlineStr">
        <is>
          <t>Macallan D C 12 Yo</t>
        </is>
      </c>
      <c r="C338" s="3" t="inlineStr">
        <is>
          <t>IMPOR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</row>
    <row r="339">
      <c r="A339" s="3">
        <f>"IM 072"</f>
        <v/>
      </c>
      <c r="B339" s="3" t="inlineStr">
        <is>
          <t>Martell Noblige 700ml</t>
        </is>
      </c>
      <c r="C339" s="3" t="inlineStr">
        <is>
          <t>IMPOR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</row>
    <row r="340">
      <c r="A340" s="3">
        <f>"IM 073"</f>
        <v/>
      </c>
      <c r="B340" s="3" t="inlineStr">
        <is>
          <t>Remy Martin Vsop 750ml</t>
        </is>
      </c>
      <c r="C340" s="3" t="inlineStr">
        <is>
          <t>IMPOR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</row>
    <row r="341">
      <c r="A341" s="3">
        <f>"IM 074"</f>
        <v/>
      </c>
      <c r="B341" s="3" t="inlineStr">
        <is>
          <t>Singleton 12 YO</t>
        </is>
      </c>
      <c r="C341" s="3" t="inlineStr">
        <is>
          <t>IMPOR</t>
        </is>
      </c>
      <c r="D341" s="3" t="n">
        <v>3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3</v>
      </c>
    </row>
    <row r="342">
      <c r="A342" s="3">
        <f>"IM 075"</f>
        <v/>
      </c>
      <c r="B342" s="3" t="inlineStr">
        <is>
          <t>Singleton 15 YO</t>
        </is>
      </c>
      <c r="C342" s="3" t="inlineStr">
        <is>
          <t>IMPOR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</row>
    <row r="343">
      <c r="A343" s="3">
        <f>"IM 076"</f>
        <v/>
      </c>
      <c r="B343" s="3" t="inlineStr">
        <is>
          <t>Handpicked Pinot Gris</t>
        </is>
      </c>
      <c r="C343" s="3" t="inlineStr">
        <is>
          <t>IMPOR</t>
        </is>
      </c>
      <c r="D343" s="3" t="n">
        <v>1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1</v>
      </c>
    </row>
    <row r="344">
      <c r="A344" s="3">
        <f>"IM 077"</f>
        <v/>
      </c>
      <c r="B344" s="3" t="inlineStr">
        <is>
          <t>Handpicked Shiraz</t>
        </is>
      </c>
      <c r="C344" s="3" t="inlineStr">
        <is>
          <t>IMPOR</t>
        </is>
      </c>
      <c r="D344" s="3" t="n">
        <v>1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1</v>
      </c>
    </row>
    <row r="345">
      <c r="A345" s="3">
        <f>"IM 078"</f>
        <v/>
      </c>
      <c r="B345" s="3" t="inlineStr">
        <is>
          <t>King Robert Vodka</t>
        </is>
      </c>
      <c r="C345" s="3" t="inlineStr">
        <is>
          <t>IMPOR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</row>
    <row r="346">
      <c r="A346" s="3">
        <f>"IM 079"</f>
        <v/>
      </c>
      <c r="B346" s="3" t="inlineStr">
        <is>
          <t>Codigo Blanco 750ml</t>
        </is>
      </c>
      <c r="C346" s="3" t="inlineStr">
        <is>
          <t>IMPOR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</row>
    <row r="347">
      <c r="A347" s="3">
        <f>"IM 080"</f>
        <v/>
      </c>
      <c r="B347" s="3" t="inlineStr">
        <is>
          <t>Codigo Rosa 750ml</t>
        </is>
      </c>
      <c r="C347" s="3" t="inlineStr">
        <is>
          <t>IMPOR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</row>
    <row r="348">
      <c r="A348" s="3">
        <f>"IM 081"</f>
        <v/>
      </c>
      <c r="B348" s="3" t="inlineStr">
        <is>
          <t>Codigo Reposado 750ml</t>
        </is>
      </c>
      <c r="C348" s="3" t="inlineStr">
        <is>
          <t>IMPOR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</row>
    <row r="349">
      <c r="A349" s="3">
        <f>"IM 082"</f>
        <v/>
      </c>
      <c r="B349" s="3" t="inlineStr">
        <is>
          <t>Singleton 12 200ml</t>
        </is>
      </c>
      <c r="C349" s="3" t="inlineStr">
        <is>
          <t>IMPOR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</row>
    <row r="350">
      <c r="A350" s="3">
        <f>"IM 083"</f>
        <v/>
      </c>
      <c r="B350" s="3" t="inlineStr">
        <is>
          <t>Grey Goose Citron</t>
        </is>
      </c>
      <c r="C350" s="3" t="inlineStr">
        <is>
          <t>IMPOR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</row>
    <row r="351">
      <c r="A351" s="3">
        <f>"IM 084"</f>
        <v/>
      </c>
      <c r="B351" s="3" t="inlineStr">
        <is>
          <t>The Glenlivet 12 YO</t>
        </is>
      </c>
      <c r="C351" s="3" t="inlineStr">
        <is>
          <t>IMPOR</t>
        </is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</row>
    <row r="352">
      <c r="A352" s="3">
        <f>"IM 085"</f>
        <v/>
      </c>
      <c r="B352" s="3" t="inlineStr">
        <is>
          <t>The Glenlivet 15 YO</t>
        </is>
      </c>
      <c r="C352" s="3" t="inlineStr">
        <is>
          <t>IMPOR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</row>
    <row r="353">
      <c r="A353" s="3">
        <f>"IM 086"</f>
        <v/>
      </c>
      <c r="B353" s="3" t="inlineStr">
        <is>
          <t>Double Black JW</t>
        </is>
      </c>
      <c r="C353" s="3" t="inlineStr">
        <is>
          <t>IMPOR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</row>
    <row r="354">
      <c r="A354" s="3">
        <f>"IM 087"</f>
        <v/>
      </c>
      <c r="B354" s="3" t="inlineStr">
        <is>
          <t>Chivas Regal 18</t>
        </is>
      </c>
      <c r="C354" s="3" t="inlineStr">
        <is>
          <t>IMPOR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</row>
    <row r="355">
      <c r="A355" s="3">
        <f>"IM 088"</f>
        <v/>
      </c>
      <c r="B355" s="3" t="inlineStr">
        <is>
          <t>Chivas Mizunara</t>
        </is>
      </c>
      <c r="C355" s="3" t="inlineStr">
        <is>
          <t>IMPOR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</row>
    <row r="356">
      <c r="A356" s="3">
        <f>"IM 089"</f>
        <v/>
      </c>
      <c r="B356" s="3" t="inlineStr">
        <is>
          <t>Santa Julia Magna Cab</t>
        </is>
      </c>
      <c r="C356" s="3" t="inlineStr">
        <is>
          <t>IMPOR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</row>
    <row r="357">
      <c r="A357" s="3">
        <f>"IM 090"</f>
        <v/>
      </c>
      <c r="B357" s="3" t="inlineStr">
        <is>
          <t>Santa Julia Malbec cabernet</t>
        </is>
      </c>
      <c r="C357" s="3" t="inlineStr">
        <is>
          <t>IMPOR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</row>
    <row r="358">
      <c r="A358" s="3">
        <f>"IM 091"</f>
        <v/>
      </c>
      <c r="B358" s="3" t="inlineStr">
        <is>
          <t>Santa Julia Reserva Malbec</t>
        </is>
      </c>
      <c r="C358" s="3" t="inlineStr">
        <is>
          <t>IMPOR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</row>
    <row r="359">
      <c r="A359" s="3">
        <f>"IM 092"</f>
        <v/>
      </c>
      <c r="B359" s="3" t="inlineStr">
        <is>
          <t>King Robert Whisky</t>
        </is>
      </c>
      <c r="C359" s="3" t="inlineStr">
        <is>
          <t>IMPOR</t>
        </is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</row>
    <row r="360">
      <c r="A360" s="3">
        <f>"IM 093"</f>
        <v/>
      </c>
      <c r="B360" s="3" t="inlineStr">
        <is>
          <t>Margaritaville Gold Tequila</t>
        </is>
      </c>
      <c r="C360" s="3" t="inlineStr">
        <is>
          <t>IMPOR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</row>
    <row r="361">
      <c r="A361" s="3">
        <f>"IM 094"</f>
        <v/>
      </c>
      <c r="B361" s="3" t="inlineStr">
        <is>
          <t>Fireball Whisky 200ml</t>
        </is>
      </c>
      <c r="C361" s="3" t="inlineStr">
        <is>
          <t>IMPOR</t>
        </is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</row>
    <row r="362">
      <c r="A362" s="3">
        <f>"IM 095"</f>
        <v/>
      </c>
      <c r="B362" s="3" t="inlineStr">
        <is>
          <t>The Bar Pink Gin</t>
        </is>
      </c>
      <c r="C362" s="3" t="inlineStr">
        <is>
          <t>IMPOR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</row>
    <row r="363">
      <c r="A363" s="3">
        <f>"IM 096"</f>
        <v/>
      </c>
      <c r="B363" s="3" t="inlineStr">
        <is>
          <t>Handpicked Barossa Shiraz</t>
        </is>
      </c>
      <c r="C363" s="3" t="inlineStr">
        <is>
          <t>IMPOR</t>
        </is>
      </c>
      <c r="D363" s="3" t="n">
        <v>1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</row>
    <row r="364">
      <c r="A364" s="3">
        <f>"IM 097"</f>
        <v/>
      </c>
      <c r="B364" s="3" t="inlineStr">
        <is>
          <t>Chateau Du Breuil Haut</t>
        </is>
      </c>
      <c r="C364" s="3" t="inlineStr">
        <is>
          <t>IMPOR</t>
        </is>
      </c>
      <c r="D364" s="3" t="n">
        <v>1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</row>
    <row r="365">
      <c r="A365" s="3">
        <f>"IM 098"</f>
        <v/>
      </c>
      <c r="B365" s="3" t="inlineStr">
        <is>
          <t>Db Willoglen Spark Brut</t>
        </is>
      </c>
      <c r="C365" s="3" t="inlineStr">
        <is>
          <t>IMPOR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</row>
    <row r="366">
      <c r="A366" s="3">
        <f>"IM 099"</f>
        <v/>
      </c>
      <c r="B366" s="3" t="inlineStr">
        <is>
          <t>Db Willoglen Family Selection</t>
        </is>
      </c>
      <c r="C366" s="3" t="inlineStr">
        <is>
          <t>IMPOR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</row>
    <row r="367">
      <c r="A367" s="3">
        <f>"IM 100"</f>
        <v/>
      </c>
      <c r="B367" s="3" t="inlineStr">
        <is>
          <t>Balbi Soprani Asti</t>
        </is>
      </c>
      <c r="C367" s="3" t="inlineStr">
        <is>
          <t>IMPOR</t>
        </is>
      </c>
      <c r="D367" s="3" t="n">
        <v>1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1</v>
      </c>
    </row>
    <row r="368">
      <c r="A368" s="3">
        <f>"IM 101"</f>
        <v/>
      </c>
      <c r="B368" s="3" t="inlineStr">
        <is>
          <t>Segura Viudas Brut Reserva</t>
        </is>
      </c>
      <c r="C368" s="3" t="inlineStr">
        <is>
          <t>IMPOR</t>
        </is>
      </c>
      <c r="D368" s="3" t="n">
        <v>1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1</v>
      </c>
    </row>
    <row r="369">
      <c r="A369" s="3">
        <f>"IM 102"</f>
        <v/>
      </c>
      <c r="B369" s="3" t="inlineStr">
        <is>
          <t>Segura Viudas Rosado</t>
        </is>
      </c>
      <c r="C369" s="3" t="inlineStr">
        <is>
          <t>IMPOR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</row>
    <row r="370">
      <c r="A370" s="3">
        <f>"IM 103"</f>
        <v/>
      </c>
      <c r="B370" s="3" t="inlineStr">
        <is>
          <t>Piccini Vino Spumante</t>
        </is>
      </c>
      <c r="C370" s="3" t="inlineStr">
        <is>
          <t>IMPOR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</row>
    <row r="371">
      <c r="A371" s="3">
        <f>"IM 104"</f>
        <v/>
      </c>
      <c r="B371" s="3" t="inlineStr">
        <is>
          <t>Piccini Pinocchio</t>
        </is>
      </c>
      <c r="C371" s="3" t="inlineStr">
        <is>
          <t>IMPOR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</row>
    <row r="372">
      <c r="A372" s="3">
        <f>"IM 105"</f>
        <v/>
      </c>
      <c r="B372" s="3" t="inlineStr">
        <is>
          <t>Villa Erica Moscato</t>
        </is>
      </c>
      <c r="C372" s="3" t="inlineStr">
        <is>
          <t>IMPOR</t>
        </is>
      </c>
      <c r="D372" s="3" t="n">
        <v>1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1</v>
      </c>
    </row>
    <row r="373">
      <c r="A373" s="3">
        <f>"IM 106"</f>
        <v/>
      </c>
      <c r="B373" s="3" t="inlineStr">
        <is>
          <t>Casillero Pinot Noir</t>
        </is>
      </c>
      <c r="C373" s="3" t="inlineStr">
        <is>
          <t>IMPOR</t>
        </is>
      </c>
      <c r="D373" s="3" t="n">
        <v>1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1</v>
      </c>
    </row>
    <row r="374">
      <c r="A374" s="3">
        <f>"IM 107"</f>
        <v/>
      </c>
      <c r="B374" s="3" t="inlineStr">
        <is>
          <t>Casillero Shiraz</t>
        </is>
      </c>
      <c r="C374" s="3" t="inlineStr">
        <is>
          <t>IMPOR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</row>
    <row r="375">
      <c r="A375" s="3">
        <f>"IM 108"</f>
        <v/>
      </c>
      <c r="B375" s="3" t="inlineStr">
        <is>
          <t>Blue label johnnie walker</t>
        </is>
      </c>
      <c r="C375" s="3" t="inlineStr">
        <is>
          <t>IMPOR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</row>
    <row r="376">
      <c r="A376" s="3">
        <f>"IM 109"</f>
        <v/>
      </c>
      <c r="B376" s="3" t="inlineStr">
        <is>
          <t>Red label Icon Johnnie Walker</t>
        </is>
      </c>
      <c r="C376" s="3" t="inlineStr">
        <is>
          <t>IMPOR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</row>
    <row r="377">
      <c r="A377" s="3">
        <f>"IM 110"</f>
        <v/>
      </c>
      <c r="B377" s="3" t="inlineStr">
        <is>
          <t>Singleton 15 GO</t>
        </is>
      </c>
      <c r="C377" s="3" t="inlineStr">
        <is>
          <t>IMPOR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</row>
    <row r="378">
      <c r="A378" s="3">
        <f>"IM 111"</f>
        <v/>
      </c>
      <c r="B378" s="3" t="inlineStr">
        <is>
          <t>Singleton 18 GO</t>
        </is>
      </c>
      <c r="C378" s="3" t="inlineStr">
        <is>
          <t>IMPOR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</row>
    <row r="379">
      <c r="A379" s="3">
        <f>"IM 112"</f>
        <v/>
      </c>
      <c r="B379" s="3" t="inlineStr">
        <is>
          <t>Sandeman Tawny</t>
        </is>
      </c>
      <c r="C379" s="3" t="inlineStr">
        <is>
          <t>IMPOR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</row>
    <row r="380">
      <c r="A380" s="3">
        <f>"IM 113"</f>
        <v/>
      </c>
      <c r="B380" s="3" t="inlineStr">
        <is>
          <t>Sandeman Ruby</t>
        </is>
      </c>
      <c r="C380" s="3" t="inlineStr">
        <is>
          <t>IMPOR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</row>
    <row r="381">
      <c r="A381" s="3">
        <f>"IM 114"</f>
        <v/>
      </c>
      <c r="B381" s="3" t="inlineStr">
        <is>
          <t>Santa Julia Dulce Tinto</t>
        </is>
      </c>
      <c r="C381" s="3" t="inlineStr">
        <is>
          <t>IMPOR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</row>
    <row r="382">
      <c r="A382" s="3">
        <f>"IM 115"</f>
        <v/>
      </c>
      <c r="B382" s="3" t="inlineStr">
        <is>
          <t>Santa Julia Chenin Dulce</t>
        </is>
      </c>
      <c r="C382" s="3" t="inlineStr">
        <is>
          <t>IMPOR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</row>
    <row r="383">
      <c r="A383" s="3">
        <f>"IM 116"</f>
        <v/>
      </c>
      <c r="B383" s="3" t="inlineStr">
        <is>
          <t>Maset Origen Blanco</t>
        </is>
      </c>
      <c r="C383" s="3" t="inlineStr">
        <is>
          <t>IMPOR</t>
        </is>
      </c>
      <c r="D383" s="3" t="n">
        <v>1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1</v>
      </c>
    </row>
    <row r="384">
      <c r="A384" s="3">
        <f>"IM 117"</f>
        <v/>
      </c>
      <c r="B384" s="3" t="inlineStr">
        <is>
          <t>Maset Origen Tinto</t>
        </is>
      </c>
      <c r="C384" s="3" t="inlineStr">
        <is>
          <t>IMPOR</t>
        </is>
      </c>
      <c r="D384" s="3" t="n">
        <v>1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1</v>
      </c>
    </row>
    <row r="385">
      <c r="A385" s="3">
        <f>"IM 118"</f>
        <v/>
      </c>
      <c r="B385" s="3" t="inlineStr">
        <is>
          <t>Maset Origen Rosado</t>
        </is>
      </c>
      <c r="C385" s="3" t="inlineStr">
        <is>
          <t>IMPOR</t>
        </is>
      </c>
      <c r="D385" s="3" t="n">
        <v>1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1</v>
      </c>
    </row>
    <row r="386">
      <c r="A386" s="3">
        <f>"IM 119"</f>
        <v/>
      </c>
      <c r="B386" s="3" t="inlineStr">
        <is>
          <t>Cockburns Special Reserve</t>
        </is>
      </c>
      <c r="C386" s="3" t="inlineStr">
        <is>
          <t>IMPOR</t>
        </is>
      </c>
      <c r="D386" s="3" t="n">
        <v>3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3</v>
      </c>
    </row>
    <row r="387">
      <c r="A387" s="3">
        <f>"IM 120"</f>
        <v/>
      </c>
      <c r="B387" s="3" t="inlineStr">
        <is>
          <t>Cockburns Fine Ruby</t>
        </is>
      </c>
      <c r="C387" s="3" t="inlineStr">
        <is>
          <t>IMPOR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</row>
    <row r="388">
      <c r="A388" s="3">
        <f>"IM 121"</f>
        <v/>
      </c>
      <c r="B388" s="3" t="inlineStr">
        <is>
          <t>Cockburns Fine Tawny</t>
        </is>
      </c>
      <c r="C388" s="3" t="inlineStr">
        <is>
          <t>IMPOR</t>
        </is>
      </c>
      <c r="D388" s="3" t="n">
        <v>1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1</v>
      </c>
    </row>
    <row r="389">
      <c r="A389" s="3">
        <f>"IM 122"</f>
        <v/>
      </c>
      <c r="B389" s="3" t="inlineStr">
        <is>
          <t>Db Woodfired Cab Sauvignon</t>
        </is>
      </c>
      <c r="C389" s="3" t="inlineStr">
        <is>
          <t>IMPOR</t>
        </is>
      </c>
      <c r="D389" s="3" t="n">
        <v>1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</v>
      </c>
    </row>
    <row r="390">
      <c r="A390" s="3">
        <f>"IM 123"</f>
        <v/>
      </c>
      <c r="B390" s="3" t="inlineStr">
        <is>
          <t>Amadio Rosso Quattro</t>
        </is>
      </c>
      <c r="C390" s="3" t="inlineStr">
        <is>
          <t>IMPOR</t>
        </is>
      </c>
      <c r="D390" s="3" t="n">
        <v>1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1</v>
      </c>
    </row>
    <row r="391">
      <c r="A391" s="3">
        <f>"IM 124"</f>
        <v/>
      </c>
      <c r="B391" s="3" t="inlineStr">
        <is>
          <t>Glenfiddich 12 Yo</t>
        </is>
      </c>
      <c r="C391" s="3" t="inlineStr">
        <is>
          <t>IMPOR</t>
        </is>
      </c>
      <c r="D391" s="3" t="n">
        <v>1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1</v>
      </c>
    </row>
    <row r="392">
      <c r="A392" s="3">
        <f>"IM 125"</f>
        <v/>
      </c>
      <c r="B392" s="3" t="inlineStr">
        <is>
          <t>The Glenlivet Founder Reserve</t>
        </is>
      </c>
      <c r="C392" s="3" t="inlineStr">
        <is>
          <t>IMPOR</t>
        </is>
      </c>
      <c r="D392" s="3" t="n">
        <v>1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1</v>
      </c>
    </row>
    <row r="393">
      <c r="A393" s="3">
        <f>"IM 126"</f>
        <v/>
      </c>
      <c r="B393" s="3" t="inlineStr">
        <is>
          <t>Macallan T C 12 Yo</t>
        </is>
      </c>
      <c r="C393" s="3" t="inlineStr">
        <is>
          <t>IMPOR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</row>
    <row r="394">
      <c r="A394" s="3">
        <f>"IM 127"</f>
        <v/>
      </c>
      <c r="B394" s="3" t="inlineStr">
        <is>
          <t>Chivas Regal 15</t>
        </is>
      </c>
      <c r="C394" s="3" t="inlineStr">
        <is>
          <t>IMPOR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</row>
    <row r="395">
      <c r="A395" s="3">
        <f>"IM 128"</f>
        <v/>
      </c>
      <c r="B395" s="3" t="inlineStr">
        <is>
          <t>Jameson Black Barrel 700ml</t>
        </is>
      </c>
      <c r="C395" s="3" t="inlineStr">
        <is>
          <t>IMPOR</t>
        </is>
      </c>
      <c r="D395" s="3" t="n">
        <v>2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2</v>
      </c>
    </row>
    <row r="396">
      <c r="A396" s="3">
        <f>"IM 129"</f>
        <v/>
      </c>
      <c r="B396" s="3" t="inlineStr">
        <is>
          <t>Luis Felipe Merlot 750ml</t>
        </is>
      </c>
      <c r="C396" s="3" t="inlineStr">
        <is>
          <t>IMPOR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</row>
    <row r="397">
      <c r="A397" s="3">
        <f>"IM 130"</f>
        <v/>
      </c>
      <c r="B397" s="3" t="inlineStr">
        <is>
          <t>Luis Felipe Malbec 750ml</t>
        </is>
      </c>
      <c r="C397" s="3" t="inlineStr">
        <is>
          <t>IMPOR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</row>
    <row r="398">
      <c r="A398" s="3">
        <f>"IM 131"</f>
        <v/>
      </c>
      <c r="B398" s="3" t="inlineStr">
        <is>
          <t>Luis Felipe Cabernet Sauvignon 750ml</t>
        </is>
      </c>
      <c r="C398" s="3" t="inlineStr">
        <is>
          <t>IMPOR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</row>
    <row r="399">
      <c r="A399" s="3">
        <f>"IM 132"</f>
        <v/>
      </c>
      <c r="B399" s="3" t="inlineStr">
        <is>
          <t>Belvedere 700ml</t>
        </is>
      </c>
      <c r="C399" s="3" t="inlineStr">
        <is>
          <t>IMPOR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</row>
    <row r="400">
      <c r="A400" s="3">
        <f>"IM 133"</f>
        <v/>
      </c>
      <c r="B400" s="3" t="inlineStr">
        <is>
          <t>Jacobs Creek Shiraz Cab 750ml</t>
        </is>
      </c>
      <c r="C400" s="3" t="inlineStr">
        <is>
          <t>IMPOR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</row>
    <row r="401">
      <c r="A401" s="3">
        <f>"IM 134"</f>
        <v/>
      </c>
      <c r="B401" s="3" t="inlineStr">
        <is>
          <t>Jacobs Creek Cherry Red 750ml</t>
        </is>
      </c>
      <c r="C401" s="3" t="inlineStr">
        <is>
          <t>IMPOR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</row>
    <row r="402">
      <c r="A402" s="3">
        <f>"IM 135"</f>
        <v/>
      </c>
      <c r="B402" s="3" t="inlineStr">
        <is>
          <t>Baileys Colada 700ml</t>
        </is>
      </c>
      <c r="C402" s="3" t="inlineStr">
        <is>
          <t>IMPOR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</row>
    <row r="403">
      <c r="A403" s="3">
        <f>"IM 136"</f>
        <v/>
      </c>
      <c r="B403" s="3" t="inlineStr">
        <is>
          <t>The Balvenie 12 Double Wood 700ml</t>
        </is>
      </c>
      <c r="C403" s="3" t="inlineStr">
        <is>
          <t>IMPOR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</row>
    <row r="404">
      <c r="A404" s="3">
        <f>"IM 137"</f>
        <v/>
      </c>
      <c r="B404" s="3" t="inlineStr">
        <is>
          <t>Glenmorangie 12 YO 700ml</t>
        </is>
      </c>
      <c r="C404" s="3" t="inlineStr">
        <is>
          <t>IMPOR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</row>
    <row r="405">
      <c r="A405" s="3">
        <f>"IM 138"</f>
        <v/>
      </c>
      <c r="B405" s="3" t="inlineStr">
        <is>
          <t>Bombay Sapphire 700ml</t>
        </is>
      </c>
      <c r="C405" s="3" t="inlineStr">
        <is>
          <t>IMPOR</t>
        </is>
      </c>
      <c r="D405" s="3" t="n">
        <v>1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1</v>
      </c>
    </row>
    <row r="406">
      <c r="A406" s="3">
        <f>"IM 139"</f>
        <v/>
      </c>
      <c r="B406" s="3" t="inlineStr">
        <is>
          <t>Glenmorangie 10 700ml</t>
        </is>
      </c>
      <c r="C406" s="3" t="inlineStr">
        <is>
          <t>IMPOR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</row>
    <row r="407">
      <c r="A407" s="3">
        <f>"IM 140"</f>
        <v/>
      </c>
      <c r="B407" s="3" t="inlineStr">
        <is>
          <t>KAH Anejo 750ml</t>
        </is>
      </c>
      <c r="C407" s="3" t="inlineStr">
        <is>
          <t>IMPOR</t>
        </is>
      </c>
      <c r="D407" s="3" t="n">
        <v>1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</row>
    <row r="408">
      <c r="A408" s="3">
        <f>"IM 141"</f>
        <v/>
      </c>
      <c r="B408" s="3" t="inlineStr">
        <is>
          <t>KAH Blanco 750ml</t>
        </is>
      </c>
      <c r="C408" s="3" t="inlineStr">
        <is>
          <t>IMPOR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</row>
    <row r="409">
      <c r="A409" s="3">
        <f>"IM 142"</f>
        <v/>
      </c>
      <c r="B409" s="3" t="inlineStr">
        <is>
          <t>KAH Reposado 750ml</t>
        </is>
      </c>
      <c r="C409" s="3" t="inlineStr">
        <is>
          <t>IMPOR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</row>
    <row r="410">
      <c r="A410" s="3">
        <f>"IM 143"</f>
        <v/>
      </c>
      <c r="B410" s="3" t="inlineStr">
        <is>
          <t>Ballantines Finest 700ml</t>
        </is>
      </c>
      <c r="C410" s="3" t="inlineStr">
        <is>
          <t>IMPOR</t>
        </is>
      </c>
      <c r="D410" s="3" t="n">
        <v>1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</row>
    <row r="411">
      <c r="A411" s="3">
        <f>"IM 144"</f>
        <v/>
      </c>
      <c r="B411" s="3" t="inlineStr">
        <is>
          <t>Santa Rita 120 Reserva Merlot</t>
        </is>
      </c>
      <c r="C411" s="3" t="inlineStr">
        <is>
          <t>IMPOR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</row>
    <row r="412">
      <c r="A412" s="3">
        <f>"IM 145"</f>
        <v/>
      </c>
      <c r="B412" s="3" t="inlineStr">
        <is>
          <t>Santa Rita 120 Reserva Carmenere</t>
        </is>
      </c>
      <c r="C412" s="3" t="inlineStr">
        <is>
          <t>IMPOR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</row>
    <row r="413">
      <c r="A413" s="3">
        <f>"IM 146"</f>
        <v/>
      </c>
      <c r="B413" s="3" t="inlineStr">
        <is>
          <t>Santa Rita T M Carmenere</t>
        </is>
      </c>
      <c r="C413" s="3" t="inlineStr">
        <is>
          <t>IMPOR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</row>
    <row r="414">
      <c r="A414" s="3">
        <f>"IM 147"</f>
        <v/>
      </c>
      <c r="B414" s="3" t="inlineStr">
        <is>
          <t>Santa Rita T M Merlot</t>
        </is>
      </c>
      <c r="C414" s="3" t="inlineStr">
        <is>
          <t>IMPOR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</row>
    <row r="415">
      <c r="A415" s="3">
        <f>"IM 148"</f>
        <v/>
      </c>
      <c r="B415" s="3" t="inlineStr">
        <is>
          <t>Alta Vista Premium Malbec</t>
        </is>
      </c>
      <c r="C415" s="3" t="inlineStr">
        <is>
          <t>IMPOR</t>
        </is>
      </c>
      <c r="D415" s="3" t="n">
        <v>1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1</v>
      </c>
    </row>
    <row r="416">
      <c r="A416" s="3">
        <f>"IM 149"</f>
        <v/>
      </c>
      <c r="B416" s="3" t="inlineStr">
        <is>
          <t>Alta Vista Red Blend</t>
        </is>
      </c>
      <c r="C416" s="3" t="inlineStr">
        <is>
          <t>IMPOR</t>
        </is>
      </c>
      <c r="D416" s="3" t="n">
        <v>1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1</v>
      </c>
    </row>
    <row r="417">
      <c r="A417" s="3">
        <f>"IM 150"</f>
        <v/>
      </c>
      <c r="B417" s="3" t="inlineStr">
        <is>
          <t>Smithbrook Sweetberry Shiraz Cab</t>
        </is>
      </c>
      <c r="C417" s="3" t="inlineStr">
        <is>
          <t>IMPOR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</row>
    <row r="418">
      <c r="A418" s="3">
        <f>"IM 151"</f>
        <v/>
      </c>
      <c r="B418" s="3" t="inlineStr">
        <is>
          <t>Beefeater Dry Gin 750ml</t>
        </is>
      </c>
      <c r="C418" s="3" t="inlineStr">
        <is>
          <t>IMPOR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</row>
    <row r="419">
      <c r="A419" s="3">
        <f>"IM 152"</f>
        <v/>
      </c>
      <c r="B419" s="3" t="inlineStr">
        <is>
          <t>Ciroc Vodka 750ml</t>
        </is>
      </c>
      <c r="C419" s="3" t="inlineStr">
        <is>
          <t>IMPOR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</row>
    <row r="420">
      <c r="A420" s="3">
        <f>"IM 153"</f>
        <v/>
      </c>
      <c r="B420" s="3" t="inlineStr">
        <is>
          <t>Clase Azul Tequila 375ml</t>
        </is>
      </c>
      <c r="C420" s="3" t="inlineStr">
        <is>
          <t>IMPOR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</row>
    <row r="421">
      <c r="A421" s="3">
        <f>"IM 154"</f>
        <v/>
      </c>
      <c r="B421" s="3" t="inlineStr">
        <is>
          <t>Clase Azul Tequila 200ml</t>
        </is>
      </c>
      <c r="C421" s="3" t="inlineStr">
        <is>
          <t>IMPOR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</row>
    <row r="422">
      <c r="A422" s="3">
        <f>"IM 155"</f>
        <v/>
      </c>
      <c r="B422" s="3" t="inlineStr">
        <is>
          <t>Johnnie Walker Blonde 700ml</t>
        </is>
      </c>
      <c r="C422" s="3" t="inlineStr">
        <is>
          <t>IMPOR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</row>
    <row r="423">
      <c r="A423" s="3">
        <f>"IM 156"</f>
        <v/>
      </c>
      <c r="B423" s="3" t="inlineStr">
        <is>
          <t>Jose Cuervo Silver 750ml</t>
        </is>
      </c>
      <c r="C423" s="3" t="inlineStr">
        <is>
          <t>IMPOR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</row>
    <row r="424">
      <c r="A424" s="3">
        <f>"IM 157"</f>
        <v/>
      </c>
      <c r="B424" s="3" t="inlineStr">
        <is>
          <t>Hendricks Gin Grand Cabaret 700ml</t>
        </is>
      </c>
      <c r="C424" s="3" t="inlineStr">
        <is>
          <t>IMPOR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</row>
    <row r="425">
      <c r="A425" s="3">
        <f>"IM 158"</f>
        <v/>
      </c>
      <c r="B425" s="3" t="inlineStr">
        <is>
          <t>Hendricks Gin Flora Adora 700ml</t>
        </is>
      </c>
      <c r="C425" s="3" t="inlineStr">
        <is>
          <t>IMPOR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</row>
    <row r="426">
      <c r="A426" s="3">
        <f>"IM 159"</f>
        <v/>
      </c>
      <c r="B426" s="3" t="inlineStr">
        <is>
          <t>Glenfiddich 15 YO</t>
        </is>
      </c>
      <c r="C426" s="3" t="inlineStr">
        <is>
          <t>IMPOR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</row>
    <row r="427">
      <c r="A427" s="3">
        <f>"IM 160"</f>
        <v/>
      </c>
      <c r="B427" s="3" t="inlineStr">
        <is>
          <t>Glenfiddich 16 YO</t>
        </is>
      </c>
      <c r="C427" s="3" t="inlineStr">
        <is>
          <t>IMPOR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</row>
    <row r="428">
      <c r="A428" s="3">
        <f>"IM 161"</f>
        <v/>
      </c>
      <c r="B428" s="3" t="inlineStr">
        <is>
          <t>Glenfiddich 18 YO</t>
        </is>
      </c>
      <c r="C428" s="3" t="inlineStr">
        <is>
          <t>IMPOR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</row>
    <row r="429">
      <c r="A429" s="3">
        <f>"IM 162"</f>
        <v/>
      </c>
      <c r="B429" s="3" t="inlineStr">
        <is>
          <t>Codigo Anejo Sherry</t>
        </is>
      </c>
      <c r="C429" s="3" t="inlineStr">
        <is>
          <t>IMPOR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</row>
    <row r="430">
      <c r="A430" s="3">
        <f>"IM163"</f>
        <v/>
      </c>
      <c r="B430" s="3" t="inlineStr">
        <is>
          <t>Red label JW 3 Ltr</t>
        </is>
      </c>
      <c r="C430" s="3" t="inlineStr">
        <is>
          <t>IMPOR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</row>
    <row r="431">
      <c r="A431" s="3">
        <f>"IM 164"</f>
        <v/>
      </c>
      <c r="B431" s="3" t="inlineStr">
        <is>
          <t>Black Label JW 3 Ltr</t>
        </is>
      </c>
      <c r="C431" s="3" t="inlineStr">
        <is>
          <t>IMPOR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</row>
    <row r="432">
      <c r="A432" s="3">
        <f>"IM 165"</f>
        <v/>
      </c>
      <c r="B432" s="3" t="inlineStr">
        <is>
          <t>Chivas Regal 12 4,5 Ltr</t>
        </is>
      </c>
      <c r="C432" s="3" t="inlineStr">
        <is>
          <t>IMPOR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</row>
    <row r="433">
      <c r="A433" s="3">
        <f>"IM166"</f>
        <v/>
      </c>
      <c r="B433" s="3" t="inlineStr">
        <is>
          <t>Jameson Irish Whiskey 4,5 Ltr</t>
        </is>
      </c>
      <c r="C433" s="3" t="inlineStr">
        <is>
          <t>IMPOR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</row>
    <row r="434">
      <c r="A434" s="3">
        <f>"IM167"</f>
        <v/>
      </c>
      <c r="B434" s="3" t="inlineStr">
        <is>
          <t>Jim Beam Cherry</t>
        </is>
      </c>
      <c r="C434" s="3" t="inlineStr">
        <is>
          <t>IMPOR</t>
        </is>
      </c>
      <c r="D434" s="3" t="n">
        <v>1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</row>
    <row r="435">
      <c r="A435" s="3">
        <f>"IM 168"</f>
        <v/>
      </c>
      <c r="B435" s="3" t="inlineStr">
        <is>
          <t>Hennessy Vsop 3 Ltr</t>
        </is>
      </c>
      <c r="C435" s="3" t="inlineStr">
        <is>
          <t>IMPOR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</row>
    <row r="436">
      <c r="A436" s="3">
        <f>"IM 169"</f>
        <v/>
      </c>
      <c r="B436" s="3" t="inlineStr">
        <is>
          <t>Macallan S O 12 YO</t>
        </is>
      </c>
      <c r="C436" s="3" t="inlineStr">
        <is>
          <t>IMPOR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</row>
    <row r="437">
      <c r="A437" s="3">
        <f>"IM 170"</f>
        <v/>
      </c>
      <c r="B437" s="3" t="inlineStr">
        <is>
          <t>Singleton 18 YO</t>
        </is>
      </c>
      <c r="C437" s="3" t="inlineStr">
        <is>
          <t>IMPOR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</row>
    <row r="438">
      <c r="A438" s="3">
        <f>"IM 171"</f>
        <v/>
      </c>
      <c r="B438" s="3" t="inlineStr">
        <is>
          <t>Clase Azul Gold</t>
        </is>
      </c>
      <c r="C438" s="3" t="inlineStr">
        <is>
          <t>IMPOR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</row>
    <row r="439">
      <c r="A439" s="3">
        <f>"IM 172"</f>
        <v/>
      </c>
      <c r="B439" s="3" t="inlineStr">
        <is>
          <t>Clase Azul Blanco</t>
        </is>
      </c>
      <c r="C439" s="3" t="inlineStr">
        <is>
          <t>IMPOR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</row>
    <row r="440">
      <c r="A440" s="3">
        <f>"IM 173"</f>
        <v/>
      </c>
      <c r="B440" s="3" t="inlineStr">
        <is>
          <t>Martell XO 700ml</t>
        </is>
      </c>
      <c r="C440" s="3" t="inlineStr">
        <is>
          <t>IMPOR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</row>
    <row r="441">
      <c r="A441" s="3">
        <f>"IM174"</f>
        <v/>
      </c>
      <c r="B441" s="3" t="inlineStr">
        <is>
          <t>Martell VSOP Edisi CNY</t>
        </is>
      </c>
      <c r="C441" s="3" t="inlineStr">
        <is>
          <t>IMPOR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</row>
    <row r="442">
      <c r="A442" s="3">
        <f>"IM175"</f>
        <v/>
      </c>
      <c r="B442" s="3" t="inlineStr">
        <is>
          <t>Olmeca Tequilla 700ml</t>
        </is>
      </c>
      <c r="C442" s="3" t="inlineStr">
        <is>
          <t>IMPOR</t>
        </is>
      </c>
      <c r="D442" s="3" t="n">
        <v>1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1</v>
      </c>
    </row>
    <row r="443">
      <c r="A443" s="3">
        <f>"IM 176"</f>
        <v/>
      </c>
      <c r="B443" s="3" t="inlineStr">
        <is>
          <t>Altos Plata 700ml</t>
        </is>
      </c>
      <c r="C443" s="3" t="inlineStr">
        <is>
          <t>IMPOR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</row>
    <row r="444">
      <c r="A444" s="3">
        <f>"IM 177"</f>
        <v/>
      </c>
      <c r="B444" s="3" t="inlineStr">
        <is>
          <t>Altos Reposado 700ml</t>
        </is>
      </c>
      <c r="C444" s="3" t="inlineStr">
        <is>
          <t>IMPOR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</row>
    <row r="445">
      <c r="A445" s="3">
        <f>"IM 178"</f>
        <v/>
      </c>
      <c r="B445" s="3" t="inlineStr">
        <is>
          <t>Havana 3YO</t>
        </is>
      </c>
      <c r="C445" s="3" t="inlineStr">
        <is>
          <t>IMPOR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</row>
    <row r="446">
      <c r="A446" s="3">
        <f>"IM 179"</f>
        <v/>
      </c>
      <c r="B446" s="3" t="inlineStr">
        <is>
          <t>Hennessy XO 700ml</t>
        </is>
      </c>
      <c r="C446" s="3" t="inlineStr">
        <is>
          <t>IMPOR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</row>
    <row r="447">
      <c r="A447" s="3">
        <f>"IM 180"</f>
        <v/>
      </c>
      <c r="B447" s="3" t="inlineStr">
        <is>
          <t>Don Julio 1942 750ml</t>
        </is>
      </c>
      <c r="C447" s="3" t="inlineStr">
        <is>
          <t>IMPOR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</row>
    <row r="448">
      <c r="A448" s="3">
        <f>"IM 181"</f>
        <v/>
      </c>
      <c r="B448" s="3" t="inlineStr">
        <is>
          <t>Gold Label JW 50ml</t>
        </is>
      </c>
      <c r="C448" s="3" t="inlineStr">
        <is>
          <t>IMPOR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</row>
    <row r="449">
      <c r="A449" s="3">
        <f>"IM 182"</f>
        <v/>
      </c>
      <c r="B449" s="3" t="inlineStr">
        <is>
          <t>Double Black JW 50ml</t>
        </is>
      </c>
      <c r="C449" s="3" t="inlineStr">
        <is>
          <t>IMPOR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</row>
    <row r="450">
      <c r="A450" s="3">
        <f>"IM 183"</f>
        <v/>
      </c>
      <c r="B450" s="3" t="inlineStr">
        <is>
          <t>Hennessy 30ml</t>
        </is>
      </c>
      <c r="C450" s="3" t="inlineStr">
        <is>
          <t>IMPOR</t>
        </is>
      </c>
      <c r="D450" s="3" t="n">
        <v>3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3</v>
      </c>
    </row>
    <row r="451">
      <c r="A451" s="3">
        <f>"IM 184"</f>
        <v/>
      </c>
      <c r="B451" s="3" t="inlineStr">
        <is>
          <t>Black Label JW 1Ltr</t>
        </is>
      </c>
      <c r="C451" s="3" t="inlineStr">
        <is>
          <t>IMPOR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</row>
    <row r="452">
      <c r="A452" s="3">
        <f>"IM185"</f>
        <v/>
      </c>
      <c r="B452" s="3" t="inlineStr">
        <is>
          <t>Jameson Irish Whisky 1Ltr</t>
        </is>
      </c>
      <c r="C452" s="3" t="inlineStr">
        <is>
          <t>IMPOR</t>
        </is>
      </c>
      <c r="D452" s="3" t="n">
        <v>1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</row>
    <row r="453">
      <c r="A453" s="3">
        <f>"IM 186"</f>
        <v/>
      </c>
      <c r="B453" s="3" t="inlineStr">
        <is>
          <t>Chivas Regal 12 1Ltr</t>
        </is>
      </c>
      <c r="C453" s="3" t="inlineStr">
        <is>
          <t>IMPOR</t>
        </is>
      </c>
      <c r="D453" s="3" t="n">
        <v>1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</row>
    <row r="454">
      <c r="A454" s="3">
        <f>"IM187"</f>
        <v/>
      </c>
      <c r="B454" s="3" t="inlineStr">
        <is>
          <t>Red Label JW 1Ltr</t>
        </is>
      </c>
      <c r="C454" s="3" t="inlineStr">
        <is>
          <t>IMPOR</t>
        </is>
      </c>
      <c r="D454" s="3" t="n">
        <v>1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</row>
    <row r="455">
      <c r="A455" s="3">
        <f>"IM188"</f>
        <v/>
      </c>
      <c r="B455" s="3" t="inlineStr">
        <is>
          <t>Jack Daniels No.7 1Ltr</t>
        </is>
      </c>
      <c r="C455" s="3" t="inlineStr">
        <is>
          <t>IMPOR</t>
        </is>
      </c>
      <c r="D455" s="3" t="n">
        <v>1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</row>
    <row r="456">
      <c r="A456" s="3">
        <f>"IM 189"</f>
        <v/>
      </c>
      <c r="B456" s="3" t="inlineStr">
        <is>
          <t>Aman Cristallino</t>
        </is>
      </c>
      <c r="C456" s="3" t="inlineStr">
        <is>
          <t>IMPOR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</row>
    <row r="457">
      <c r="A457" s="3">
        <f>"IM 190"</f>
        <v/>
      </c>
      <c r="B457" s="3" t="inlineStr">
        <is>
          <t>Aman Reposado</t>
        </is>
      </c>
      <c r="C457" s="3" t="inlineStr">
        <is>
          <t>IMPOR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</row>
    <row r="458">
      <c r="A458" s="3">
        <f>"IM 191"</f>
        <v/>
      </c>
      <c r="B458" s="3" t="inlineStr">
        <is>
          <t>Aman Rossa</t>
        </is>
      </c>
      <c r="C458" s="3" t="inlineStr">
        <is>
          <t>IMPOR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</row>
    <row r="459">
      <c r="A459" s="3">
        <f>"IM 192"</f>
        <v/>
      </c>
      <c r="B459" s="3" t="inlineStr">
        <is>
          <t>Aman Blanco</t>
        </is>
      </c>
      <c r="C459" s="3" t="inlineStr">
        <is>
          <t>IMPOR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</row>
    <row r="460">
      <c r="A460" s="3">
        <f>"IM 193"</f>
        <v/>
      </c>
      <c r="B460" s="3" t="inlineStr">
        <is>
          <t>Aman Anejo</t>
        </is>
      </c>
      <c r="C460" s="3" t="inlineStr">
        <is>
          <t>IMPOR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</row>
    <row r="461">
      <c r="A461" s="3">
        <f>"IM195"</f>
        <v/>
      </c>
      <c r="B461" s="3" t="inlineStr">
        <is>
          <t>Jack Daniels No.7 3Ltr</t>
        </is>
      </c>
      <c r="C461" s="3" t="inlineStr">
        <is>
          <t>IMPOR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</row>
    <row r="462">
      <c r="A462" s="3">
        <f>"IM 196"</f>
        <v/>
      </c>
      <c r="B462" s="3" t="inlineStr">
        <is>
          <t>Codigo Rosa 375ml</t>
        </is>
      </c>
      <c r="C462" s="3" t="inlineStr">
        <is>
          <t>IMPOR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</row>
    <row r="463">
      <c r="A463" s="3">
        <f>"IM197"</f>
        <v/>
      </c>
      <c r="B463" s="3" t="inlineStr">
        <is>
          <t>Red Label JW Pocket 200ml</t>
        </is>
      </c>
      <c r="C463" s="3" t="inlineStr">
        <is>
          <t>IMPOR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</row>
    <row r="464">
      <c r="A464" s="3">
        <f>"IM 198"</f>
        <v/>
      </c>
      <c r="B464" s="3" t="inlineStr">
        <is>
          <t>Black Label JW Pocket 200ml</t>
        </is>
      </c>
      <c r="C464" s="3" t="inlineStr">
        <is>
          <t>IMPOR</t>
        </is>
      </c>
      <c r="D464" s="3" t="n">
        <v>3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3</v>
      </c>
    </row>
    <row r="465">
      <c r="A465" s="3">
        <f>"IM 199"</f>
        <v/>
      </c>
      <c r="B465" s="3" t="inlineStr">
        <is>
          <t>Jack Daniels McLaren</t>
        </is>
      </c>
      <c r="C465" s="3" t="inlineStr">
        <is>
          <t>IMPOR</t>
        </is>
      </c>
      <c r="D465" s="3" t="n">
        <v>3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3</v>
      </c>
    </row>
    <row r="466">
      <c r="A466" s="3">
        <f>"IM 200"</f>
        <v/>
      </c>
      <c r="B466" s="3" t="inlineStr">
        <is>
          <t>Jose Cuervo Gold 1Ltr</t>
        </is>
      </c>
      <c r="C466" s="3" t="inlineStr">
        <is>
          <t>IMPOR</t>
        </is>
      </c>
      <c r="D466" s="3" t="n">
        <v>1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</row>
    <row r="467">
      <c r="A467" s="3">
        <f>"IM 201"</f>
        <v/>
      </c>
      <c r="B467" s="3" t="inlineStr">
        <is>
          <t>Jose Cuervo Extra Anejo</t>
        </is>
      </c>
      <c r="C467" s="3" t="inlineStr">
        <is>
          <t>IMPOR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</row>
    <row r="468">
      <c r="A468" s="3">
        <f>"LQ01"</f>
        <v/>
      </c>
      <c r="B468" s="3" t="inlineStr">
        <is>
          <t>Zirca Irish Cream</t>
        </is>
      </c>
      <c r="C468" s="3" t="inlineStr">
        <is>
          <t>LIQUOR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</row>
    <row r="469">
      <c r="A469" s="3">
        <f>"LQ02"</f>
        <v/>
      </c>
      <c r="B469" s="3" t="inlineStr">
        <is>
          <t>Zirca Triple Sec</t>
        </is>
      </c>
      <c r="C469" s="3" t="inlineStr">
        <is>
          <t>LIQUOR</t>
        </is>
      </c>
      <c r="D469" s="3" t="n">
        <v>3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3</v>
      </c>
    </row>
    <row r="470">
      <c r="A470" s="3">
        <f>"LQ03"</f>
        <v/>
      </c>
      <c r="B470" s="3" t="inlineStr">
        <is>
          <t>Zirca Melon</t>
        </is>
      </c>
      <c r="C470" s="3" t="inlineStr">
        <is>
          <t>LIQUOR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</row>
    <row r="471">
      <c r="A471" s="3">
        <f>"LQ04"</f>
        <v/>
      </c>
      <c r="B471" s="3" t="inlineStr">
        <is>
          <t>Zirca Coconut</t>
        </is>
      </c>
      <c r="C471" s="3" t="inlineStr">
        <is>
          <t>LIQUOR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</row>
    <row r="472">
      <c r="A472" s="3">
        <f>"LQ05"</f>
        <v/>
      </c>
      <c r="B472" s="3" t="inlineStr">
        <is>
          <t>Zirca Bluecuracao</t>
        </is>
      </c>
      <c r="C472" s="3" t="inlineStr">
        <is>
          <t>LIQUOR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</row>
    <row r="473">
      <c r="A473" s="3">
        <f>"LQ06"</f>
        <v/>
      </c>
      <c r="B473" s="3" t="inlineStr">
        <is>
          <t>Vibe 1.Exotic Lychee 700ml</t>
        </is>
      </c>
      <c r="C473" s="3" t="inlineStr">
        <is>
          <t>LIQUOR</t>
        </is>
      </c>
      <c r="D473" s="3" t="n">
        <v>22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21</v>
      </c>
    </row>
    <row r="474">
      <c r="A474" s="3">
        <f>"LQ07"</f>
        <v/>
      </c>
      <c r="B474" s="3" t="inlineStr">
        <is>
          <t>Vibe 1.Peach 700ml</t>
        </is>
      </c>
      <c r="C474" s="3" t="inlineStr">
        <is>
          <t>LIQUOR</t>
        </is>
      </c>
      <c r="D474" s="3" t="n">
        <v>12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12</v>
      </c>
    </row>
    <row r="475">
      <c r="A475" s="3">
        <f>"LQ08"</f>
        <v/>
      </c>
      <c r="B475" s="3" t="inlineStr">
        <is>
          <t>Vibe 1.Apricot 700ml</t>
        </is>
      </c>
      <c r="C475" s="3" t="inlineStr">
        <is>
          <t>LIQUOR</t>
        </is>
      </c>
      <c r="D475" s="3" t="n">
        <v>6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6</v>
      </c>
    </row>
    <row r="476">
      <c r="A476" s="3">
        <f>"LQ09"</f>
        <v/>
      </c>
      <c r="B476" s="3" t="inlineStr">
        <is>
          <t>Vibe 1.Black Tea 700ml</t>
        </is>
      </c>
      <c r="C476" s="3" t="inlineStr">
        <is>
          <t>LIQUOR</t>
        </is>
      </c>
      <c r="D476" s="3" t="n">
        <v>24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24</v>
      </c>
    </row>
    <row r="477">
      <c r="A477" s="3">
        <f>"LQ10"</f>
        <v/>
      </c>
      <c r="B477" s="3" t="inlineStr">
        <is>
          <t>Vibe 1.Premium Vodka 700ml</t>
        </is>
      </c>
      <c r="C477" s="3" t="inlineStr">
        <is>
          <t>LIQUOR</t>
        </is>
      </c>
      <c r="D477" s="3" t="n">
        <v>1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1</v>
      </c>
    </row>
    <row r="478">
      <c r="A478" s="3">
        <f>"LQ11"</f>
        <v/>
      </c>
      <c r="B478" s="3" t="inlineStr">
        <is>
          <t>Vibe Tequila 700ml</t>
        </is>
      </c>
      <c r="C478" s="3" t="inlineStr">
        <is>
          <t>LIQUOR</t>
        </is>
      </c>
      <c r="D478" s="3" t="n">
        <v>2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2</v>
      </c>
    </row>
    <row r="479">
      <c r="A479" s="3">
        <f>"LQ12"</f>
        <v/>
      </c>
      <c r="B479" s="3" t="inlineStr">
        <is>
          <t>Vibe Blue Curacao 700ml</t>
        </is>
      </c>
      <c r="C479" s="3" t="inlineStr">
        <is>
          <t>LIQUOR</t>
        </is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</row>
    <row r="480">
      <c r="A480" s="3">
        <f>"LQ13"</f>
        <v/>
      </c>
      <c r="B480" s="3" t="inlineStr">
        <is>
          <t>Vibe Melon 700ml</t>
        </is>
      </c>
      <c r="C480" s="3" t="inlineStr">
        <is>
          <t>LIQUOR</t>
        </is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</row>
    <row r="481">
      <c r="A481" s="3">
        <f>"LQ14"</f>
        <v/>
      </c>
      <c r="B481" s="3" t="inlineStr">
        <is>
          <t>Vibe Cherry Brandy 700ml</t>
        </is>
      </c>
      <c r="C481" s="3" t="inlineStr">
        <is>
          <t>LIQUOR</t>
        </is>
      </c>
      <c r="D481" s="3" t="n">
        <v>2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2</v>
      </c>
    </row>
    <row r="482">
      <c r="A482" s="3">
        <f>"LQ15"</f>
        <v/>
      </c>
      <c r="B482" s="3" t="inlineStr">
        <is>
          <t>Vibe Robusta Coffee 700ml</t>
        </is>
      </c>
      <c r="C482" s="3" t="inlineStr">
        <is>
          <t>LIQUOR</t>
        </is>
      </c>
      <c r="D482" s="3" t="n">
        <v>2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2</v>
      </c>
    </row>
    <row r="483">
      <c r="A483" s="3">
        <f>"LQ16"</f>
        <v/>
      </c>
      <c r="B483" s="3" t="inlineStr">
        <is>
          <t>Vibe Flaming Sambuca 700ml</t>
        </is>
      </c>
      <c r="C483" s="3" t="inlineStr">
        <is>
          <t>LIQUOR</t>
        </is>
      </c>
      <c r="D483" s="3" t="n">
        <v>2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2</v>
      </c>
    </row>
    <row r="484">
      <c r="A484" s="3">
        <f>"LQ17"</f>
        <v/>
      </c>
      <c r="B484" s="3" t="inlineStr">
        <is>
          <t>Vibe Tropical Coconut 700ml</t>
        </is>
      </c>
      <c r="C484" s="3" t="inlineStr">
        <is>
          <t>LIQUOR</t>
        </is>
      </c>
      <c r="D484" s="3" t="n">
        <v>2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2</v>
      </c>
    </row>
    <row r="485">
      <c r="A485" s="3">
        <f>"LQ18"</f>
        <v/>
      </c>
      <c r="B485" s="3" t="inlineStr">
        <is>
          <t>Vibe Pineapple 700ml</t>
        </is>
      </c>
      <c r="C485" s="3" t="inlineStr">
        <is>
          <t>LIQUOR</t>
        </is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</row>
    <row r="486">
      <c r="A486" s="3">
        <f>"LQ19"</f>
        <v/>
      </c>
      <c r="B486" s="3" t="inlineStr">
        <is>
          <t>Vibe Creme De Menthe Green 700ml</t>
        </is>
      </c>
      <c r="C486" s="3" t="inlineStr">
        <is>
          <t>LIQUOR</t>
        </is>
      </c>
      <c r="D486" s="3" t="n">
        <v>3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3</v>
      </c>
    </row>
    <row r="487">
      <c r="A487" s="3">
        <f>"LQ20"</f>
        <v/>
      </c>
      <c r="B487" s="3" t="inlineStr">
        <is>
          <t>Vibe Creme De Cacao Brown 700ml</t>
        </is>
      </c>
      <c r="C487" s="3" t="inlineStr">
        <is>
          <t>LIQUOR</t>
        </is>
      </c>
      <c r="D487" s="3" t="n">
        <v>3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3</v>
      </c>
    </row>
    <row r="488">
      <c r="A488" s="3">
        <f>"LQ21"</f>
        <v/>
      </c>
      <c r="B488" s="3" t="inlineStr">
        <is>
          <t>Vibe Triple Sec 700ml</t>
        </is>
      </c>
      <c r="C488" s="3" t="inlineStr">
        <is>
          <t>LIQUOR</t>
        </is>
      </c>
      <c r="D488" s="3" t="n">
        <v>1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1</v>
      </c>
    </row>
    <row r="489">
      <c r="A489" s="3">
        <f>"LQ22"</f>
        <v/>
      </c>
      <c r="B489" s="3" t="inlineStr">
        <is>
          <t>Vibe Vodka Original 700ml</t>
        </is>
      </c>
      <c r="C489" s="3" t="inlineStr">
        <is>
          <t>LIQUOR</t>
        </is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</row>
    <row r="490">
      <c r="A490" s="3">
        <f>"LQ23"</f>
        <v/>
      </c>
      <c r="B490" s="3" t="inlineStr">
        <is>
          <t>Vibe Whisky 700ml</t>
        </is>
      </c>
      <c r="C490" s="3" t="inlineStr">
        <is>
          <t>LIQUOR</t>
        </is>
      </c>
      <c r="D490" s="3" t="n">
        <v>2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2</v>
      </c>
    </row>
    <row r="491">
      <c r="A491" s="3">
        <f>"LQ24"</f>
        <v/>
      </c>
      <c r="B491" s="3" t="inlineStr">
        <is>
          <t>Vibe Light Rum 700ml</t>
        </is>
      </c>
      <c r="C491" s="3" t="inlineStr">
        <is>
          <t>LIQUOR</t>
        </is>
      </c>
      <c r="D491" s="3" t="n">
        <v>2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2</v>
      </c>
    </row>
    <row r="492">
      <c r="A492" s="3">
        <f>"LQ25"</f>
        <v/>
      </c>
      <c r="B492" s="3" t="inlineStr">
        <is>
          <t>Vibe Dry Gin</t>
        </is>
      </c>
      <c r="C492" s="3" t="inlineStr">
        <is>
          <t>LIQUOR</t>
        </is>
      </c>
      <c r="D492" s="3" t="n">
        <v>2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2</v>
      </c>
    </row>
    <row r="493">
      <c r="A493" s="3">
        <f>"LQ26"</f>
        <v/>
      </c>
      <c r="B493" s="3" t="inlineStr">
        <is>
          <t>Walsh Apel 500ml</t>
        </is>
      </c>
      <c r="C493" s="3" t="inlineStr">
        <is>
          <t>LIQUOR</t>
        </is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</row>
    <row r="494">
      <c r="A494" s="3">
        <f>"LQ27"</f>
        <v/>
      </c>
      <c r="B494" s="3" t="inlineStr">
        <is>
          <t>Walsh Jeruk 500ml</t>
        </is>
      </c>
      <c r="C494" s="3" t="inlineStr">
        <is>
          <t>LIQUOR</t>
        </is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</row>
    <row r="495">
      <c r="A495" s="3">
        <f>"LQ28"</f>
        <v/>
      </c>
      <c r="B495" s="3" t="inlineStr">
        <is>
          <t>Walsh Plum 500ml</t>
        </is>
      </c>
      <c r="C495" s="3" t="inlineStr">
        <is>
          <t>LIQUOR</t>
        </is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</row>
    <row r="496">
      <c r="A496" s="3">
        <f>"LQ29"</f>
        <v/>
      </c>
      <c r="B496" s="3" t="inlineStr">
        <is>
          <t>Jack True 180ml</t>
        </is>
      </c>
      <c r="C496" s="3" t="inlineStr">
        <is>
          <t>LIQUOR</t>
        </is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12</v>
      </c>
    </row>
    <row r="497">
      <c r="A497" s="3">
        <f>"LQ30"</f>
        <v/>
      </c>
      <c r="B497" s="3" t="inlineStr">
        <is>
          <t>Nusantara Cold Brew Coffe</t>
        </is>
      </c>
      <c r="C497" s="3" t="inlineStr">
        <is>
          <t>LIQUOR</t>
        </is>
      </c>
      <c r="D497" s="3" t="n">
        <v>3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3</v>
      </c>
    </row>
    <row r="498">
      <c r="A498" s="3">
        <f>"LQ31"</f>
        <v/>
      </c>
      <c r="B498" s="3" t="inlineStr">
        <is>
          <t>Nusantara Java Cream</t>
        </is>
      </c>
      <c r="C498" s="3" t="inlineStr">
        <is>
          <t>LIQUOR</t>
        </is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</row>
    <row r="499">
      <c r="A499" s="3">
        <f>"LQ32"</f>
        <v/>
      </c>
      <c r="B499" s="3" t="inlineStr">
        <is>
          <t>Vibe 1.Exotic Lychee 350ml</t>
        </is>
      </c>
      <c r="C499" s="3" t="inlineStr">
        <is>
          <t>LIQUOR</t>
        </is>
      </c>
      <c r="D499" s="3" t="n">
        <v>6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6</v>
      </c>
    </row>
    <row r="500">
      <c r="A500" s="3">
        <f>"LQ33"</f>
        <v/>
      </c>
      <c r="B500" s="3" t="inlineStr">
        <is>
          <t>Vibe 1.Black Tea 350ml</t>
        </is>
      </c>
      <c r="C500" s="3" t="inlineStr">
        <is>
          <t>LIQUOR</t>
        </is>
      </c>
      <c r="D500" s="3" t="n">
        <v>12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12</v>
      </c>
    </row>
    <row r="501">
      <c r="A501" s="3">
        <f>"LQ34"</f>
        <v/>
      </c>
      <c r="B501" s="3" t="inlineStr">
        <is>
          <t>Blue Agave 700ml</t>
        </is>
      </c>
      <c r="C501" s="3" t="inlineStr">
        <is>
          <t>LIQUOR</t>
        </is>
      </c>
      <c r="D501" s="3" t="n">
        <v>1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</row>
    <row r="502">
      <c r="A502" s="3">
        <f>"LQ35"</f>
        <v/>
      </c>
      <c r="B502" s="3" t="inlineStr">
        <is>
          <t>Robinson Brandy 680ml</t>
        </is>
      </c>
      <c r="C502" s="3" t="inlineStr">
        <is>
          <t>LIQUOR</t>
        </is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</row>
    <row r="503">
      <c r="A503" s="3">
        <f>"LQ36"</f>
        <v/>
      </c>
      <c r="B503" s="3" t="inlineStr">
        <is>
          <t>Robinson Triple Sec 700ml</t>
        </is>
      </c>
      <c r="C503" s="3" t="inlineStr">
        <is>
          <t>LIQUOR</t>
        </is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</row>
    <row r="504">
      <c r="A504" s="3">
        <f>"LQ37"</f>
        <v/>
      </c>
      <c r="B504" s="3" t="inlineStr">
        <is>
          <t>Robinson Brandy 350ml</t>
        </is>
      </c>
      <c r="C504" s="3" t="inlineStr">
        <is>
          <t>LIQUOR</t>
        </is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</row>
    <row r="505">
      <c r="A505" s="3">
        <f>"LQ38"</f>
        <v/>
      </c>
      <c r="B505" s="3" t="inlineStr">
        <is>
          <t>Robinson Cacao Brown 700ml</t>
        </is>
      </c>
      <c r="C505" s="3" t="inlineStr">
        <is>
          <t>LIQUOR</t>
        </is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</row>
    <row r="506">
      <c r="A506" s="3">
        <f>"LQ39"</f>
        <v/>
      </c>
      <c r="B506" s="3" t="inlineStr">
        <is>
          <t>Robinson Blue Curacao 700ml</t>
        </is>
      </c>
      <c r="C506" s="3" t="inlineStr">
        <is>
          <t>LIQUOR</t>
        </is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</row>
    <row r="507">
      <c r="A507" s="3">
        <f>"LQ40"</f>
        <v/>
      </c>
      <c r="B507" s="3" t="inlineStr">
        <is>
          <t>Robinson Peppermint Green 700ml</t>
        </is>
      </c>
      <c r="C507" s="3" t="inlineStr">
        <is>
          <t>LIQUOR</t>
        </is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</row>
    <row r="508">
      <c r="A508" s="3">
        <f>"LQ41"</f>
        <v/>
      </c>
      <c r="B508" s="3" t="inlineStr">
        <is>
          <t>Robinson Cherry Brandy 700ml</t>
        </is>
      </c>
      <c r="C508" s="3" t="inlineStr">
        <is>
          <t>LIQUOR</t>
        </is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</row>
    <row r="509">
      <c r="A509" s="3">
        <f>"LQ42"</f>
        <v/>
      </c>
      <c r="B509" s="3" t="inlineStr">
        <is>
          <t>Ranchitos Tequilla 700ml</t>
        </is>
      </c>
      <c r="C509" s="3" t="inlineStr">
        <is>
          <t>LIQUOR</t>
        </is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</row>
    <row r="510">
      <c r="A510" s="3">
        <f>"LQ43"</f>
        <v/>
      </c>
      <c r="B510" s="3" t="inlineStr">
        <is>
          <t>Balimoon Lychee 700ml</t>
        </is>
      </c>
      <c r="C510" s="3" t="inlineStr">
        <is>
          <t>LIQUOR</t>
        </is>
      </c>
      <c r="D510" s="3" t="n">
        <v>2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2</v>
      </c>
    </row>
    <row r="511">
      <c r="A511" s="3">
        <f>"LQ44"</f>
        <v/>
      </c>
      <c r="B511" s="3" t="inlineStr">
        <is>
          <t>Balimoon Coconut 700ml</t>
        </is>
      </c>
      <c r="C511" s="3" t="inlineStr">
        <is>
          <t>LIQUOR</t>
        </is>
      </c>
      <c r="D511" s="3" t="n">
        <v>1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1</v>
      </c>
    </row>
    <row r="512">
      <c r="A512" s="3">
        <f>"LQ45"</f>
        <v/>
      </c>
      <c r="B512" s="3" t="inlineStr">
        <is>
          <t>Balimoon Pineapple 700ml</t>
        </is>
      </c>
      <c r="C512" s="3" t="inlineStr">
        <is>
          <t>LIQUOR</t>
        </is>
      </c>
      <c r="D512" s="3" t="n">
        <v>1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1</v>
      </c>
    </row>
    <row r="513">
      <c r="A513" s="3">
        <f>"LQ46"</f>
        <v/>
      </c>
      <c r="B513" s="3" t="inlineStr">
        <is>
          <t>Balimoon Banana 700ml</t>
        </is>
      </c>
      <c r="C513" s="3" t="inlineStr">
        <is>
          <t>LIQUOR</t>
        </is>
      </c>
      <c r="D513" s="3" t="n">
        <v>1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1</v>
      </c>
    </row>
    <row r="514">
      <c r="A514" s="3">
        <f>"LQ47"</f>
        <v/>
      </c>
      <c r="B514" s="3" t="inlineStr">
        <is>
          <t>Balimoon Triple Sec 700ml</t>
        </is>
      </c>
      <c r="C514" s="3" t="inlineStr">
        <is>
          <t>LIQUOR</t>
        </is>
      </c>
      <c r="D514" s="3" t="n">
        <v>1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1</v>
      </c>
    </row>
    <row r="515">
      <c r="A515" s="3">
        <f>"LQ48"</f>
        <v/>
      </c>
      <c r="B515" s="3" t="inlineStr">
        <is>
          <t>Balimoon Melon 700ml</t>
        </is>
      </c>
      <c r="C515" s="3" t="inlineStr">
        <is>
          <t>LIQUOR</t>
        </is>
      </c>
      <c r="D515" s="3" t="n">
        <v>1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</row>
    <row r="516">
      <c r="A516" s="3">
        <f>"LQ49"</f>
        <v/>
      </c>
      <c r="B516" s="3" t="inlineStr">
        <is>
          <t>Balimoon Blue Curacao 700ml</t>
        </is>
      </c>
      <c r="C516" s="3" t="inlineStr">
        <is>
          <t>LIQUOR</t>
        </is>
      </c>
      <c r="D516" s="3" t="n">
        <v>1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1</v>
      </c>
    </row>
    <row r="517">
      <c r="A517" s="3">
        <f>"LQ50"</f>
        <v/>
      </c>
      <c r="B517" s="3" t="inlineStr">
        <is>
          <t>Balimoon Coffee 700ml</t>
        </is>
      </c>
      <c r="C517" s="3" t="inlineStr">
        <is>
          <t>LIQUOR</t>
        </is>
      </c>
      <c r="D517" s="3" t="n">
        <v>1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</row>
    <row r="518">
      <c r="A518" s="3">
        <f>"LQ51"</f>
        <v/>
      </c>
      <c r="B518" s="3" t="inlineStr">
        <is>
          <t>Balimoon Hazelnut 700ml</t>
        </is>
      </c>
      <c r="C518" s="3" t="inlineStr">
        <is>
          <t>LIQUOR</t>
        </is>
      </c>
      <c r="D518" s="3" t="n">
        <v>1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1</v>
      </c>
    </row>
    <row r="519">
      <c r="A519" s="3">
        <f>"LQ52"</f>
        <v/>
      </c>
      <c r="B519" s="3" t="inlineStr">
        <is>
          <t>Balimoon Blackcurrant 700ml</t>
        </is>
      </c>
      <c r="C519" s="3" t="inlineStr">
        <is>
          <t>LIQUOR</t>
        </is>
      </c>
      <c r="D519" s="3" t="n">
        <v>1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</row>
    <row r="520">
      <c r="A520" s="3">
        <f>"LQ53"</f>
        <v/>
      </c>
      <c r="B520" s="3" t="inlineStr">
        <is>
          <t>Balimoon Peach 700ml</t>
        </is>
      </c>
      <c r="C520" s="3" t="inlineStr">
        <is>
          <t>LIQUOR</t>
        </is>
      </c>
      <c r="D520" s="3" t="n">
        <v>1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1</v>
      </c>
    </row>
    <row r="521">
      <c r="A521" s="3">
        <f>"LQ54"</f>
        <v/>
      </c>
      <c r="B521" s="3" t="inlineStr">
        <is>
          <t>Balimoon Apricot 700ml</t>
        </is>
      </c>
      <c r="C521" s="3" t="inlineStr">
        <is>
          <t>LIQUOR</t>
        </is>
      </c>
      <c r="D521" s="3" t="n">
        <v>1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</row>
    <row r="522">
      <c r="A522" s="3">
        <f>"LQ55"</f>
        <v/>
      </c>
      <c r="B522" s="3" t="inlineStr">
        <is>
          <t>Balimoon Butterscotch 700ml</t>
        </is>
      </c>
      <c r="C522" s="3" t="inlineStr">
        <is>
          <t>LIQUOR</t>
        </is>
      </c>
      <c r="D522" s="3" t="n">
        <v>1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1</v>
      </c>
    </row>
    <row r="523">
      <c r="A523" s="3">
        <f>"LQ56"</f>
        <v/>
      </c>
      <c r="B523" s="3" t="inlineStr">
        <is>
          <t>Black Bull 750ml</t>
        </is>
      </c>
      <c r="C523" s="3" t="inlineStr">
        <is>
          <t>LIQUOR</t>
        </is>
      </c>
      <c r="D523" s="3" t="n">
        <v>3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3</v>
      </c>
    </row>
    <row r="524">
      <c r="A524" s="3">
        <f>"LQ57"</f>
        <v/>
      </c>
      <c r="B524" s="3" t="inlineStr">
        <is>
          <t>Oro Tequilana 700ml</t>
        </is>
      </c>
      <c r="C524" s="3" t="inlineStr">
        <is>
          <t>LIQUOR</t>
        </is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</row>
    <row r="525">
      <c r="A525" s="3">
        <f>"LQ58"</f>
        <v/>
      </c>
      <c r="B525" s="3" t="inlineStr">
        <is>
          <t>Vibe 1.Apricot 350ml</t>
        </is>
      </c>
      <c r="C525" s="3" t="inlineStr">
        <is>
          <t>LIQUOR</t>
        </is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</row>
    <row r="526">
      <c r="A526" s="3">
        <f>"LQ59"</f>
        <v/>
      </c>
      <c r="B526" s="3" t="inlineStr">
        <is>
          <t>Vibe 1.Peach 350ml</t>
        </is>
      </c>
      <c r="C526" s="3" t="inlineStr">
        <is>
          <t>LIQUOR</t>
        </is>
      </c>
      <c r="D526" s="3" t="n">
        <v>6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6</v>
      </c>
    </row>
    <row r="527">
      <c r="A527" s="3">
        <f>"LQ60"</f>
        <v/>
      </c>
      <c r="B527" s="3" t="inlineStr">
        <is>
          <t>Vibe 1.Premium Vodka 350ml</t>
        </is>
      </c>
      <c r="C527" s="3" t="inlineStr">
        <is>
          <t>LIQUOR</t>
        </is>
      </c>
      <c r="D527" s="3" t="n">
        <v>3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3</v>
      </c>
    </row>
    <row r="528">
      <c r="A528" s="3">
        <f>"LQ61"</f>
        <v/>
      </c>
      <c r="B528" s="3" t="inlineStr">
        <is>
          <t>Alam Nusantara Coconut 600ml</t>
        </is>
      </c>
      <c r="C528" s="3" t="inlineStr">
        <is>
          <t>LIQUOR</t>
        </is>
      </c>
      <c r="D528" s="3" t="n">
        <v>24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24</v>
      </c>
    </row>
    <row r="529">
      <c r="A529" s="3">
        <f>"LQ62"</f>
        <v/>
      </c>
      <c r="B529" s="3" t="inlineStr">
        <is>
          <t>Kahlua Coffee Liquor 700ml</t>
        </is>
      </c>
      <c r="C529" s="3" t="inlineStr">
        <is>
          <t>LIQUOR</t>
        </is>
      </c>
      <c r="D529" s="3" t="n">
        <v>2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2</v>
      </c>
    </row>
    <row r="530">
      <c r="A530" s="3">
        <f>"R01"</f>
        <v/>
      </c>
      <c r="B530" s="3" t="inlineStr">
        <is>
          <t>Sampoerna Mild</t>
        </is>
      </c>
      <c r="C530" s="3" t="inlineStr">
        <is>
          <t>ROKOK</t>
        </is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</row>
    <row r="531">
      <c r="A531" s="3">
        <f>"R02"</f>
        <v/>
      </c>
      <c r="B531" s="3" t="inlineStr">
        <is>
          <t>Surya 12</t>
        </is>
      </c>
      <c r="C531" s="3" t="inlineStr">
        <is>
          <t>ROKOK</t>
        </is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</row>
    <row r="532">
      <c r="A532" s="3">
        <f>"R03"</f>
        <v/>
      </c>
      <c r="B532" s="3" t="inlineStr">
        <is>
          <t>Sampoerna Mild Menthol</t>
        </is>
      </c>
      <c r="C532" s="3" t="inlineStr">
        <is>
          <t>ROKOK</t>
        </is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</row>
    <row r="533">
      <c r="A533" s="3">
        <f>"R04"</f>
        <v/>
      </c>
      <c r="B533" s="3" t="inlineStr">
        <is>
          <t>Esse Double Change</t>
        </is>
      </c>
      <c r="C533" s="3" t="inlineStr">
        <is>
          <t>ROKOK</t>
        </is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</row>
    <row r="534">
      <c r="A534" s="3">
        <f>"R05"</f>
        <v/>
      </c>
      <c r="B534" s="3" t="inlineStr">
        <is>
          <t>Marlboro Merah</t>
        </is>
      </c>
      <c r="C534" s="3" t="inlineStr">
        <is>
          <t>ROKOK</t>
        </is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</row>
    <row r="535">
      <c r="A535" s="3">
        <f>"R06"</f>
        <v/>
      </c>
      <c r="B535" s="3" t="inlineStr">
        <is>
          <t>Djarum Super 12</t>
        </is>
      </c>
      <c r="C535" s="3" t="inlineStr">
        <is>
          <t>ROKOK</t>
        </is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</row>
    <row r="536">
      <c r="A536" s="3">
        <f>"R07"</f>
        <v/>
      </c>
      <c r="B536" s="3" t="inlineStr">
        <is>
          <t>Djarum Mild Fresh Cola 16</t>
        </is>
      </c>
      <c r="C536" s="3" t="inlineStr">
        <is>
          <t>ROKOK</t>
        </is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</row>
    <row r="537">
      <c r="A537" s="3">
        <f>"R08"</f>
        <v/>
      </c>
      <c r="B537" s="3" t="inlineStr">
        <is>
          <t>Djarum Super Mild 20</t>
        </is>
      </c>
      <c r="C537" s="3" t="inlineStr">
        <is>
          <t>ROKOK</t>
        </is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</row>
    <row r="538">
      <c r="A538" s="3">
        <f>"R09"</f>
        <v/>
      </c>
      <c r="B538" s="3" t="inlineStr">
        <is>
          <t>L A Lights 16</t>
        </is>
      </c>
      <c r="C538" s="3" t="inlineStr">
        <is>
          <t>ROKOK</t>
        </is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</row>
    <row r="539">
      <c r="A539" s="3">
        <f>"R10"</f>
        <v/>
      </c>
      <c r="B539" s="3" t="inlineStr">
        <is>
          <t>L A Bold 20</t>
        </is>
      </c>
      <c r="C539" s="3" t="inlineStr">
        <is>
          <t>ROKOK</t>
        </is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</row>
    <row r="540">
      <c r="A540" s="3">
        <f>"R11"</f>
        <v/>
      </c>
      <c r="B540" s="3" t="inlineStr">
        <is>
          <t>L A Menthol 16</t>
        </is>
      </c>
      <c r="C540" s="3" t="inlineStr">
        <is>
          <t>ROKOK</t>
        </is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</row>
    <row r="541">
      <c r="A541" s="3">
        <f>"R12"</f>
        <v/>
      </c>
      <c r="B541" s="3" t="inlineStr">
        <is>
          <t>L A Ice 16</t>
        </is>
      </c>
      <c r="C541" s="3" t="inlineStr">
        <is>
          <t>ROKOK</t>
        </is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</row>
    <row r="542">
      <c r="A542" s="3">
        <f>"R13"</f>
        <v/>
      </c>
      <c r="B542" s="3" t="inlineStr">
        <is>
          <t>L A Ice Purple Boost 16</t>
        </is>
      </c>
      <c r="C542" s="3" t="inlineStr">
        <is>
          <t>ROKOK</t>
        </is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</row>
    <row r="543">
      <c r="A543" s="3">
        <f>"R14"</f>
        <v/>
      </c>
      <c r="B543" s="3" t="inlineStr">
        <is>
          <t>Djarum Black 16</t>
        </is>
      </c>
      <c r="C543" s="3" t="inlineStr">
        <is>
          <t>ROKOK</t>
        </is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</row>
    <row r="544">
      <c r="A544" s="3">
        <f>"R15"</f>
        <v/>
      </c>
      <c r="B544" s="3" t="inlineStr">
        <is>
          <t>Djarum Black Cappuccino 16</t>
        </is>
      </c>
      <c r="C544" s="3" t="inlineStr">
        <is>
          <t>ROKOK</t>
        </is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</row>
    <row r="545">
      <c r="A545" s="3">
        <f>"R16"</f>
        <v/>
      </c>
      <c r="B545" s="3" t="inlineStr">
        <is>
          <t>Djarum King 12</t>
        </is>
      </c>
      <c r="C545" s="3" t="inlineStr">
        <is>
          <t>ROKOK</t>
        </is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</row>
    <row r="546">
      <c r="A546" s="3">
        <f>"R17"</f>
        <v/>
      </c>
      <c r="B546" s="3" t="inlineStr">
        <is>
          <t>Djarum 76 Madu Hitam 12</t>
        </is>
      </c>
      <c r="C546" s="3" t="inlineStr">
        <is>
          <t>ROKOK</t>
        </is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</row>
    <row r="547">
      <c r="A547" s="3">
        <f>"R18"</f>
        <v/>
      </c>
      <c r="B547" s="3" t="inlineStr">
        <is>
          <t>Djarum 76 12</t>
        </is>
      </c>
      <c r="C547" s="3" t="inlineStr">
        <is>
          <t>ROKOK</t>
        </is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</row>
    <row r="548">
      <c r="A548" s="3">
        <f>"R19"</f>
        <v/>
      </c>
      <c r="B548" s="3" t="inlineStr">
        <is>
          <t>Djarum 76 Mangga 12</t>
        </is>
      </c>
      <c r="C548" s="3" t="inlineStr">
        <is>
          <t>ROKOK</t>
        </is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</row>
    <row r="549">
      <c r="A549" s="3">
        <f>"R20"</f>
        <v/>
      </c>
      <c r="B549" s="3" t="inlineStr">
        <is>
          <t>Senior Caffe Latte 12</t>
        </is>
      </c>
      <c r="C549" s="3" t="inlineStr">
        <is>
          <t>ROKOK</t>
        </is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</row>
    <row r="550">
      <c r="A550" s="3">
        <f>"R21"</f>
        <v/>
      </c>
      <c r="B550" s="3" t="inlineStr">
        <is>
          <t>Ziga 12</t>
        </is>
      </c>
      <c r="C550" s="3" t="inlineStr">
        <is>
          <t>ROKOK</t>
        </is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</row>
    <row r="551">
      <c r="A551" s="3">
        <f>"R22"</f>
        <v/>
      </c>
      <c r="B551" s="3" t="inlineStr">
        <is>
          <t>Ziga Teh Manis 12</t>
        </is>
      </c>
      <c r="C551" s="3" t="inlineStr">
        <is>
          <t>ROKOK</t>
        </is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</row>
    <row r="552">
      <c r="A552" s="3">
        <f>"R23"</f>
        <v/>
      </c>
      <c r="B552" s="3" t="inlineStr">
        <is>
          <t>Raptor 12</t>
        </is>
      </c>
      <c r="C552" s="3" t="inlineStr">
        <is>
          <t>ROKOK</t>
        </is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</row>
    <row r="553">
      <c r="A553" s="3">
        <f>"R24"</f>
        <v/>
      </c>
      <c r="B553" s="3" t="inlineStr">
        <is>
          <t>Chief 12</t>
        </is>
      </c>
      <c r="C553" s="3" t="inlineStr">
        <is>
          <t>ROKOK</t>
        </is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</row>
    <row r="554">
      <c r="A554" s="3">
        <f>"R25"</f>
        <v/>
      </c>
      <c r="B554" s="3" t="inlineStr">
        <is>
          <t>Geo Mild 16</t>
        </is>
      </c>
      <c r="C554" s="3" t="inlineStr">
        <is>
          <t>ROKOK</t>
        </is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</row>
    <row r="555">
      <c r="A555" s="3">
        <f>"R26"</f>
        <v/>
      </c>
      <c r="B555" s="3" t="inlineStr">
        <is>
          <t>Djarum Super Espresso 12</t>
        </is>
      </c>
      <c r="C555" s="3" t="inlineStr">
        <is>
          <t>ROKOK</t>
        </is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</row>
    <row r="556">
      <c r="A556" s="3">
        <f>"R27"</f>
        <v/>
      </c>
      <c r="B556" s="3" t="inlineStr">
        <is>
          <t>L A Bold 16</t>
        </is>
      </c>
      <c r="C556" s="3" t="inlineStr">
        <is>
          <t>ROKOK</t>
        </is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</row>
    <row r="557">
      <c r="A557" s="3">
        <f>"R28"</f>
        <v/>
      </c>
      <c r="B557" s="3" t="inlineStr">
        <is>
          <t>Djarum 76 Nanas 12</t>
        </is>
      </c>
      <c r="C557" s="3" t="inlineStr">
        <is>
          <t>ROKOK</t>
        </is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</row>
    <row r="558">
      <c r="A558" s="3">
        <f>"R29"</f>
        <v/>
      </c>
      <c r="B558" s="3" t="inlineStr">
        <is>
          <t>Marlboro Black 20</t>
        </is>
      </c>
      <c r="C558" s="3" t="inlineStr">
        <is>
          <t>ROKOK</t>
        </is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</row>
    <row r="559">
      <c r="A559" s="3">
        <f>"R30"</f>
        <v/>
      </c>
      <c r="B559" s="3" t="inlineStr">
        <is>
          <t>Marlboro Biru 20</t>
        </is>
      </c>
      <c r="C559" s="3" t="inlineStr">
        <is>
          <t>ROKOK</t>
        </is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</row>
    <row r="560">
      <c r="A560" s="3">
        <f>"R31"</f>
        <v/>
      </c>
      <c r="B560" s="3" t="inlineStr">
        <is>
          <t>L A Mangoboost 16</t>
        </is>
      </c>
      <c r="C560" s="3" t="inlineStr">
        <is>
          <t>ROKOK</t>
        </is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</row>
    <row r="561">
      <c r="A561" s="3">
        <f>"R32"</f>
        <v/>
      </c>
      <c r="B561" s="3" t="inlineStr">
        <is>
          <t>Score Teh Manis 12</t>
        </is>
      </c>
      <c r="C561" s="3" t="inlineStr">
        <is>
          <t>ROKOK</t>
        </is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</row>
    <row r="562">
      <c r="A562" s="3">
        <f>"R33"</f>
        <v/>
      </c>
      <c r="B562" s="3" t="inlineStr">
        <is>
          <t>Djarum Super Espresso Gold 12</t>
        </is>
      </c>
      <c r="C562" s="3" t="inlineStr">
        <is>
          <t>ROKOK</t>
        </is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</row>
    <row r="563">
      <c r="A563" s="3">
        <f>"R34"</f>
        <v/>
      </c>
      <c r="B563" s="3" t="inlineStr">
        <is>
          <t>Lucky Strike</t>
        </is>
      </c>
      <c r="C563" s="3" t="inlineStr">
        <is>
          <t>ROKOK</t>
        </is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</row>
    <row r="564">
      <c r="A564" s="3">
        <f>"R35"</f>
        <v/>
      </c>
      <c r="B564" s="3" t="inlineStr">
        <is>
          <t>Dunhil Putih 16</t>
        </is>
      </c>
      <c r="C564" s="3" t="inlineStr">
        <is>
          <t>ROKOK</t>
        </is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</row>
    <row r="565">
      <c r="A565" s="3">
        <f>"R36"</f>
        <v/>
      </c>
      <c r="B565" s="3" t="inlineStr">
        <is>
          <t>Djarum Safari</t>
        </is>
      </c>
      <c r="C565" s="3" t="inlineStr">
        <is>
          <t>ROKOK</t>
        </is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</row>
    <row r="566">
      <c r="A566" s="3">
        <f>"R37"</f>
        <v/>
      </c>
      <c r="B566" s="3" t="inlineStr">
        <is>
          <t>Insta Watermelon 16</t>
        </is>
      </c>
      <c r="C566" s="3" t="inlineStr">
        <is>
          <t>ROKOK</t>
        </is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</row>
    <row r="567">
      <c r="A567" s="3">
        <f>"R38"</f>
        <v/>
      </c>
      <c r="B567" s="3" t="inlineStr">
        <is>
          <t>Djarum 76 Kurma 12</t>
        </is>
      </c>
      <c r="C567" s="3" t="inlineStr">
        <is>
          <t>ROKOK</t>
        </is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</row>
    <row r="568">
      <c r="A568" s="3">
        <f>"R39"</f>
        <v/>
      </c>
      <c r="B568" s="3" t="inlineStr">
        <is>
          <t>Warkop Jambu 12</t>
        </is>
      </c>
      <c r="C568" s="3" t="inlineStr">
        <is>
          <t>ROKOK</t>
        </is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</row>
    <row r="569">
      <c r="A569" s="3">
        <f>"R40"</f>
        <v/>
      </c>
      <c r="B569" s="3" t="inlineStr">
        <is>
          <t>Djarum 76 Royal 12</t>
        </is>
      </c>
      <c r="C569" s="3" t="inlineStr">
        <is>
          <t>ROKOK</t>
        </is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</row>
    <row r="570">
      <c r="A570" s="3">
        <f>"R41"</f>
        <v/>
      </c>
      <c r="B570" s="3" t="inlineStr">
        <is>
          <t>Djarum Safari Wraps 12</t>
        </is>
      </c>
      <c r="C570" s="3" t="inlineStr">
        <is>
          <t>ROKOK</t>
        </is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</row>
    <row r="571">
      <c r="A571" s="3">
        <f>"R42"</f>
        <v/>
      </c>
      <c r="B571" s="3" t="inlineStr">
        <is>
          <t>Djarum 76 Apel 12</t>
        </is>
      </c>
      <c r="C571" s="3" t="inlineStr">
        <is>
          <t>ROKOK</t>
        </is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</row>
    <row r="572">
      <c r="A572" s="3">
        <f>"R43"</f>
        <v/>
      </c>
      <c r="B572" s="3" t="inlineStr">
        <is>
          <t>Djarum 76 Mangga Royal 12</t>
        </is>
      </c>
      <c r="C572" s="3" t="inlineStr">
        <is>
          <t>ROKOK</t>
        </is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</row>
    <row r="573">
      <c r="A573" s="3">
        <f>"R44"</f>
        <v/>
      </c>
      <c r="B573" s="3" t="inlineStr">
        <is>
          <t>Xenon Kretek 16</t>
        </is>
      </c>
      <c r="C573" s="3" t="inlineStr">
        <is>
          <t>ROKOK</t>
        </is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</row>
    <row r="574">
      <c r="A574" s="3">
        <f>"R45"</f>
        <v/>
      </c>
      <c r="B574" s="3" t="inlineStr">
        <is>
          <t>Dongan 12</t>
        </is>
      </c>
      <c r="C574" s="3" t="inlineStr">
        <is>
          <t>ROKOK</t>
        </is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</row>
    <row r="575">
      <c r="A575" s="3">
        <f>"RK46"</f>
        <v/>
      </c>
      <c r="B575" s="3" t="inlineStr">
        <is>
          <t>Diplomat Mild Mango 16</t>
        </is>
      </c>
      <c r="C575" s="3" t="inlineStr">
        <is>
          <t>ROKOK</t>
        </is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</row>
    <row r="576">
      <c r="A576" s="3">
        <f>"RK47"</f>
        <v/>
      </c>
      <c r="B576" s="3" t="inlineStr">
        <is>
          <t>Diplomat Mild Guava 16</t>
        </is>
      </c>
      <c r="C576" s="3" t="inlineStr">
        <is>
          <t>ROKOK</t>
        </is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</row>
    <row r="577">
      <c r="A577" s="3">
        <f>"RK48"</f>
        <v/>
      </c>
      <c r="B577" s="3" t="inlineStr">
        <is>
          <t>Diplomat Mild Lychee 16</t>
        </is>
      </c>
      <c r="C577" s="3" t="inlineStr">
        <is>
          <t>ROKOK</t>
        </is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</row>
    <row r="578">
      <c r="A578" s="3">
        <f>"RK49"</f>
        <v/>
      </c>
      <c r="B578" s="3" t="inlineStr">
        <is>
          <t>Djarum D Wraps 12</t>
        </is>
      </c>
      <c r="C578" s="3" t="inlineStr">
        <is>
          <t>ROKOK</t>
        </is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</row>
    <row r="579">
      <c r="A579" s="3">
        <f>"RK50"</f>
        <v/>
      </c>
      <c r="B579" s="3" t="inlineStr">
        <is>
          <t>Slic Kretek 16</t>
        </is>
      </c>
      <c r="C579" s="3" t="inlineStr">
        <is>
          <t>ROKOK</t>
        </is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</row>
    <row r="580">
      <c r="A580" s="3">
        <f>"RK51"</f>
        <v/>
      </c>
      <c r="B580" s="3" t="inlineStr">
        <is>
          <t>Djarum Super Kretek Wraps 12</t>
        </is>
      </c>
      <c r="C580" s="3" t="inlineStr">
        <is>
          <t>ROKOK</t>
        </is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</row>
    <row r="581">
      <c r="A581" s="3">
        <f>"RK52"</f>
        <v/>
      </c>
      <c r="B581" s="3" t="inlineStr">
        <is>
          <t>Team Kretek 16</t>
        </is>
      </c>
      <c r="C581" s="3" t="inlineStr">
        <is>
          <t>ROKOK</t>
        </is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</row>
    <row r="582">
      <c r="A582" s="3">
        <f>"RK53"</f>
        <v/>
      </c>
      <c r="B582" s="3" t="inlineStr">
        <is>
          <t>Comet 20</t>
        </is>
      </c>
      <c r="C582" s="3" t="inlineStr">
        <is>
          <t>ROKOK</t>
        </is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</row>
    <row r="583">
      <c r="A583" s="3">
        <f>"RK54"</f>
        <v/>
      </c>
      <c r="B583" s="3" t="inlineStr">
        <is>
          <t>Djarum76 Apel Royal 12</t>
        </is>
      </c>
      <c r="C583" s="3" t="inlineStr">
        <is>
          <t>ROKOK</t>
        </is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</row>
    <row r="584">
      <c r="A584" s="3">
        <f>"RK55"</f>
        <v/>
      </c>
      <c r="B584" s="3" t="inlineStr">
        <is>
          <t>Chief 16</t>
        </is>
      </c>
      <c r="C584" s="3" t="inlineStr">
        <is>
          <t>ROKOK</t>
        </is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</row>
    <row r="585">
      <c r="A585" s="3">
        <f>"RK56"</f>
        <v/>
      </c>
      <c r="B585" s="3" t="inlineStr">
        <is>
          <t>Ultimo 12</t>
        </is>
      </c>
      <c r="C585" s="3" t="inlineStr">
        <is>
          <t>ROKOK</t>
        </is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</row>
    <row r="586">
      <c r="A586" s="3">
        <f>"RK57"</f>
        <v/>
      </c>
      <c r="B586" s="3" t="inlineStr">
        <is>
          <t>Dunhil Hitam</t>
        </is>
      </c>
      <c r="C586" s="3" t="inlineStr">
        <is>
          <t>ROKOK</t>
        </is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</row>
    <row r="587">
      <c r="A587" s="3">
        <f>"RM01"</f>
        <v/>
      </c>
      <c r="B587" s="3" t="inlineStr">
        <is>
          <t>Manta White Rum</t>
        </is>
      </c>
      <c r="C587" s="3" t="inlineStr">
        <is>
          <t>RUM</t>
        </is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</row>
    <row r="588">
      <c r="A588" s="3">
        <f>"RM02"</f>
        <v/>
      </c>
      <c r="B588" s="3" t="inlineStr">
        <is>
          <t>Manta Spiced Rum</t>
        </is>
      </c>
      <c r="C588" s="3" t="inlineStr">
        <is>
          <t>RUM</t>
        </is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</row>
    <row r="589">
      <c r="A589" s="3">
        <f>"RM03"</f>
        <v/>
      </c>
      <c r="B589" s="3" t="inlineStr">
        <is>
          <t>Manta Dark Rum</t>
        </is>
      </c>
      <c r="C589" s="3" t="inlineStr">
        <is>
          <t>RUM</t>
        </is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</row>
    <row r="590">
      <c r="A590" s="3">
        <f>"RM04"</f>
        <v/>
      </c>
      <c r="B590" s="3" t="inlineStr">
        <is>
          <t>Manta Spiced Gold</t>
        </is>
      </c>
      <c r="C590" s="3" t="inlineStr">
        <is>
          <t>RUM</t>
        </is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</row>
    <row r="591">
      <c r="A591" s="3">
        <f>"RM05"</f>
        <v/>
      </c>
      <c r="B591" s="3" t="inlineStr">
        <is>
          <t>Captain Morgan Spiced 750ml</t>
        </is>
      </c>
      <c r="C591" s="3" t="inlineStr">
        <is>
          <t>RUM</t>
        </is>
      </c>
      <c r="D591" s="3" t="n">
        <v>22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22</v>
      </c>
    </row>
    <row r="592">
      <c r="A592" s="3">
        <f>"RM06"</f>
        <v/>
      </c>
      <c r="B592" s="3" t="inlineStr">
        <is>
          <t>Red Horse Rum 500ml</t>
        </is>
      </c>
      <c r="C592" s="3" t="inlineStr">
        <is>
          <t>RUM</t>
        </is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</row>
    <row r="593">
      <c r="A593" s="3">
        <f>"RM07"</f>
        <v/>
      </c>
      <c r="B593" s="3" t="inlineStr">
        <is>
          <t>Cloud Seven Mojito Can 350ml</t>
        </is>
      </c>
      <c r="C593" s="3" t="inlineStr">
        <is>
          <t>RUM</t>
        </is>
      </c>
      <c r="D593" s="3" t="n">
        <v>20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20</v>
      </c>
    </row>
    <row r="594">
      <c r="A594" s="3">
        <f>"RM08"</f>
        <v/>
      </c>
      <c r="B594" s="3" t="inlineStr">
        <is>
          <t>Dplava Spiced Rum 750ml</t>
        </is>
      </c>
      <c r="C594" s="3" t="inlineStr">
        <is>
          <t>RUM</t>
        </is>
      </c>
      <c r="D594" s="3" t="n">
        <v>5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5</v>
      </c>
    </row>
    <row r="595">
      <c r="A595" s="3">
        <f>"RM09"</f>
        <v/>
      </c>
      <c r="B595" s="3" t="inlineStr">
        <is>
          <t>Cloud Seven Bali Pomelo Can 350ml</t>
        </is>
      </c>
      <c r="C595" s="3" t="inlineStr">
        <is>
          <t>RUM</t>
        </is>
      </c>
      <c r="D595" s="3" t="n">
        <v>22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22</v>
      </c>
    </row>
    <row r="596">
      <c r="A596" s="3">
        <f>"RM10"</f>
        <v/>
      </c>
      <c r="B596" s="3" t="inlineStr">
        <is>
          <t>Cloud Seven Smashing Grape Can 350ml</t>
        </is>
      </c>
      <c r="C596" s="3" t="inlineStr">
        <is>
          <t>RUM</t>
        </is>
      </c>
      <c r="D596" s="3" t="n">
        <v>17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16</v>
      </c>
    </row>
    <row r="597">
      <c r="A597" s="3">
        <f>"RM11"</f>
        <v/>
      </c>
      <c r="B597" s="3" t="inlineStr">
        <is>
          <t>Cloud Seven Peach Delight Can 350ml</t>
        </is>
      </c>
      <c r="C597" s="3" t="inlineStr">
        <is>
          <t>RUM</t>
        </is>
      </c>
      <c r="D597" s="3" t="n">
        <v>23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23</v>
      </c>
    </row>
    <row r="598">
      <c r="A598" s="3">
        <f>"RM12"</f>
        <v/>
      </c>
      <c r="B598" s="3" t="inlineStr">
        <is>
          <t>Bacardi Spiced Rum 750ml</t>
        </is>
      </c>
      <c r="C598" s="3" t="inlineStr">
        <is>
          <t>RUM</t>
        </is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</row>
    <row r="599">
      <c r="A599" s="3">
        <f>"RM13"</f>
        <v/>
      </c>
      <c r="B599" s="3" t="inlineStr">
        <is>
          <t>Bacardi White Rum 750ml</t>
        </is>
      </c>
      <c r="C599" s="3" t="inlineStr">
        <is>
          <t>RUM</t>
        </is>
      </c>
      <c r="D599" s="3" t="n">
        <v>3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3</v>
      </c>
    </row>
    <row r="600">
      <c r="A600" s="3">
        <f>"RM14"</f>
        <v/>
      </c>
      <c r="B600" s="3" t="inlineStr">
        <is>
          <t>Dplava White Rum 750ml</t>
        </is>
      </c>
      <c r="C600" s="3" t="inlineStr">
        <is>
          <t>RUM</t>
        </is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</row>
    <row r="601">
      <c r="A601" s="3">
        <f>"RM15"</f>
        <v/>
      </c>
      <c r="B601" s="3" t="inlineStr">
        <is>
          <t>Lamafa Classic Rum 700ml</t>
        </is>
      </c>
      <c r="C601" s="3" t="inlineStr">
        <is>
          <t>RUM</t>
        </is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</row>
    <row r="602">
      <c r="A602" s="3">
        <f>"RM16"</f>
        <v/>
      </c>
      <c r="B602" s="3" t="inlineStr">
        <is>
          <t>Lamafa Dark Spiced Rum 700ml</t>
        </is>
      </c>
      <c r="C602" s="3" t="inlineStr">
        <is>
          <t>RUM</t>
        </is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</row>
    <row r="603">
      <c r="A603" s="3">
        <f>"RM17"</f>
        <v/>
      </c>
      <c r="B603" s="3" t="inlineStr">
        <is>
          <t>Captain Morgan White 750ml</t>
        </is>
      </c>
      <c r="C603" s="3" t="inlineStr">
        <is>
          <t>RUM</t>
        </is>
      </c>
      <c r="D603" s="3" t="n">
        <v>1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1</v>
      </c>
    </row>
    <row r="604">
      <c r="A604" s="3">
        <f>"RM18"</f>
        <v/>
      </c>
      <c r="B604" s="3" t="inlineStr">
        <is>
          <t>Robinson Jamaica Rum 350ml</t>
        </is>
      </c>
      <c r="C604" s="3" t="inlineStr">
        <is>
          <t>RUM</t>
        </is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</row>
    <row r="605">
      <c r="A605" s="3">
        <f>"RM19"</f>
        <v/>
      </c>
      <c r="B605" s="3" t="inlineStr">
        <is>
          <t>Robinson Jamaica Rum 680ml</t>
        </is>
      </c>
      <c r="C605" s="3" t="inlineStr">
        <is>
          <t>RUM</t>
        </is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</row>
    <row r="606">
      <c r="A606" s="3">
        <f>"RM20"</f>
        <v/>
      </c>
      <c r="B606" s="3" t="inlineStr">
        <is>
          <t>Robinson Light Rum 350ml</t>
        </is>
      </c>
      <c r="C606" s="3" t="inlineStr">
        <is>
          <t>RUM</t>
        </is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</row>
    <row r="607">
      <c r="A607" s="3">
        <f>"RM21"</f>
        <v/>
      </c>
      <c r="B607" s="3" t="inlineStr">
        <is>
          <t>Robinson Light Rum 680ml</t>
        </is>
      </c>
      <c r="C607" s="3" t="inlineStr">
        <is>
          <t>RUM</t>
        </is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</row>
    <row r="608">
      <c r="A608" s="3">
        <f>"RM22"</f>
        <v/>
      </c>
      <c r="B608" s="3" t="inlineStr">
        <is>
          <t>Uncle Hook</t>
        </is>
      </c>
      <c r="C608" s="3" t="inlineStr">
        <is>
          <t>RUM</t>
        </is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</row>
    <row r="609">
      <c r="A609" s="3">
        <f>"RM23"</f>
        <v/>
      </c>
      <c r="B609" s="3" t="inlineStr">
        <is>
          <t>Captain Morgan Spiced 200ml</t>
        </is>
      </c>
      <c r="C609" s="3" t="inlineStr">
        <is>
          <t>RUM</t>
        </is>
      </c>
      <c r="D609" s="3" t="n">
        <v>22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22</v>
      </c>
    </row>
    <row r="610">
      <c r="A610" s="3">
        <f>"RM24"</f>
        <v/>
      </c>
      <c r="B610" s="3" t="inlineStr">
        <is>
          <t>Bali Jack Rum 350ml</t>
        </is>
      </c>
      <c r="C610" s="3" t="inlineStr">
        <is>
          <t>RUM</t>
        </is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</row>
    <row r="611">
      <c r="A611" s="3">
        <f>"RM25"</f>
        <v/>
      </c>
      <c r="B611" s="3" t="inlineStr">
        <is>
          <t>Black White Rum 700ml</t>
        </is>
      </c>
      <c r="C611" s="3" t="inlineStr">
        <is>
          <t>RUM</t>
        </is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</row>
    <row r="612">
      <c r="A612" s="3">
        <f>"RM26"</f>
        <v/>
      </c>
      <c r="B612" s="3" t="inlineStr">
        <is>
          <t>Saccarum Spiced Rum 700ml</t>
        </is>
      </c>
      <c r="C612" s="3" t="inlineStr">
        <is>
          <t>RUM</t>
        </is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</row>
    <row r="613">
      <c r="A613" s="3">
        <f>"RM27"</f>
        <v/>
      </c>
      <c r="B613" s="3" t="inlineStr">
        <is>
          <t>Saccarum White Rum 700ml</t>
        </is>
      </c>
      <c r="C613" s="3" t="inlineStr">
        <is>
          <t>RUM</t>
        </is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</row>
    <row r="614">
      <c r="A614" s="3">
        <f>"RM28"</f>
        <v/>
      </c>
      <c r="B614" s="3" t="inlineStr">
        <is>
          <t>Santana Spiced Rum 750ml</t>
        </is>
      </c>
      <c r="C614" s="3" t="inlineStr">
        <is>
          <t>RUM</t>
        </is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</row>
    <row r="615">
      <c r="A615" s="3">
        <f>"RM29"</f>
        <v/>
      </c>
      <c r="B615" s="3" t="inlineStr">
        <is>
          <t>Santana White Rum 750ml</t>
        </is>
      </c>
      <c r="C615" s="3" t="inlineStr">
        <is>
          <t>RUM</t>
        </is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</row>
    <row r="616">
      <c r="A616" s="3">
        <f>"RM30"</f>
        <v/>
      </c>
      <c r="B616" s="3" t="inlineStr">
        <is>
          <t>Blanco White Rum 250ml</t>
        </is>
      </c>
      <c r="C616" s="3" t="inlineStr">
        <is>
          <t>RUM</t>
        </is>
      </c>
      <c r="D616" s="3" t="n">
        <v>3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3</v>
      </c>
    </row>
    <row r="617">
      <c r="A617" s="3">
        <f>"RM31"</f>
        <v/>
      </c>
      <c r="B617" s="3" t="inlineStr">
        <is>
          <t>Blanco White Rum 700ml</t>
        </is>
      </c>
      <c r="C617" s="3" t="inlineStr">
        <is>
          <t>RUM</t>
        </is>
      </c>
      <c r="D617" s="3" t="n">
        <v>1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1</v>
      </c>
    </row>
    <row r="618">
      <c r="A618" s="3">
        <f>"RM32"</f>
        <v/>
      </c>
      <c r="B618" s="3" t="inlineStr">
        <is>
          <t>Blanco Spiced Rum 700ml</t>
        </is>
      </c>
      <c r="C618" s="3" t="inlineStr">
        <is>
          <t>RUM</t>
        </is>
      </c>
      <c r="D618" s="3" t="n">
        <v>3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3</v>
      </c>
    </row>
    <row r="619">
      <c r="A619" s="3">
        <f>"RM33"</f>
        <v/>
      </c>
      <c r="B619" s="3" t="inlineStr">
        <is>
          <t>Two Rogues Spiced Rum 700ml</t>
        </is>
      </c>
      <c r="C619" s="3" t="inlineStr">
        <is>
          <t>RUM</t>
        </is>
      </c>
      <c r="D619" s="3" t="n">
        <v>3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3</v>
      </c>
    </row>
    <row r="620">
      <c r="A620" s="3">
        <f>"RM34"</f>
        <v/>
      </c>
      <c r="B620" s="3" t="inlineStr">
        <is>
          <t>Locker Spice Gold 750ml</t>
        </is>
      </c>
      <c r="C620" s="3" t="inlineStr">
        <is>
          <t>RUM</t>
        </is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</row>
    <row r="621">
      <c r="A621" s="3">
        <f>"RM35"</f>
        <v/>
      </c>
      <c r="B621" s="3" t="inlineStr">
        <is>
          <t>Captain Morgan White 200ml</t>
        </is>
      </c>
      <c r="C621" s="3" t="inlineStr">
        <is>
          <t>RUM</t>
        </is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</row>
    <row r="622">
      <c r="A622" s="3">
        <f>"RM36"</f>
        <v/>
      </c>
      <c r="B622" s="3" t="inlineStr">
        <is>
          <t>Captain Morgan Black Spiced 700ml</t>
        </is>
      </c>
      <c r="C622" s="3" t="inlineStr">
        <is>
          <t>RUM</t>
        </is>
      </c>
      <c r="D622" s="3" t="n">
        <v>1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1</v>
      </c>
    </row>
    <row r="623">
      <c r="A623" s="3">
        <f>"RM37"</f>
        <v/>
      </c>
      <c r="B623" s="3" t="inlineStr">
        <is>
          <t>Bacardi Spiced Rum 180ml</t>
        </is>
      </c>
      <c r="C623" s="3" t="inlineStr">
        <is>
          <t>RUM</t>
        </is>
      </c>
      <c r="D623" s="3" t="n">
        <v>12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12</v>
      </c>
    </row>
    <row r="624">
      <c r="A624" s="3">
        <f>"RM38"</f>
        <v/>
      </c>
      <c r="B624" s="3" t="inlineStr">
        <is>
          <t>Bacardi White Rum 180ml</t>
        </is>
      </c>
      <c r="C624" s="3" t="inlineStr">
        <is>
          <t>RUM</t>
        </is>
      </c>
      <c r="D624" s="3" t="n">
        <v>12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12</v>
      </c>
    </row>
    <row r="625">
      <c r="A625" s="3">
        <f>"RM39"</f>
        <v/>
      </c>
      <c r="B625" s="3" t="inlineStr">
        <is>
          <t>Captain Morgan Apple 200ml</t>
        </is>
      </c>
      <c r="C625" s="3" t="inlineStr">
        <is>
          <t>RUM</t>
        </is>
      </c>
      <c r="D625" s="3" t="n">
        <v>12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12</v>
      </c>
    </row>
    <row r="626">
      <c r="A626" s="3">
        <f>"RM40"</f>
        <v/>
      </c>
      <c r="B626" s="3" t="inlineStr">
        <is>
          <t>Captain Morgan Apple 700ml</t>
        </is>
      </c>
      <c r="C626" s="3" t="inlineStr">
        <is>
          <t>RUM</t>
        </is>
      </c>
      <c r="D626" s="3" t="n">
        <v>20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20</v>
      </c>
    </row>
    <row r="627">
      <c r="A627" s="3">
        <f>"RM41"</f>
        <v/>
      </c>
      <c r="B627" s="3" t="inlineStr">
        <is>
          <t>MCDonald Rum Cola 180ml</t>
        </is>
      </c>
      <c r="C627" s="3" t="inlineStr">
        <is>
          <t>RUM</t>
        </is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</row>
    <row r="628">
      <c r="A628" s="3">
        <f>"S01"</f>
        <v/>
      </c>
      <c r="B628" s="3" t="inlineStr">
        <is>
          <t>Bae Soju Original</t>
        </is>
      </c>
      <c r="C628" s="3" t="inlineStr">
        <is>
          <t>SOJU</t>
        </is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</row>
    <row r="629">
      <c r="A629" s="3">
        <f>"S02"</f>
        <v/>
      </c>
      <c r="B629" s="3" t="inlineStr">
        <is>
          <t>Bae Soju Leci</t>
        </is>
      </c>
      <c r="C629" s="3" t="inlineStr">
        <is>
          <t>SOJU</t>
        </is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</row>
    <row r="630">
      <c r="A630" s="3">
        <f>"S03"</f>
        <v/>
      </c>
      <c r="B630" s="3" t="inlineStr">
        <is>
          <t>Soju Cheosnun Original</t>
        </is>
      </c>
      <c r="C630" s="3" t="inlineStr">
        <is>
          <t>SOJU</t>
        </is>
      </c>
      <c r="D630" s="3" t="n">
        <v>4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4</v>
      </c>
    </row>
    <row r="631">
      <c r="A631" s="3">
        <f>"S04"</f>
        <v/>
      </c>
      <c r="B631" s="3" t="inlineStr">
        <is>
          <t>Soju Cheosnun Anggur Hijau</t>
        </is>
      </c>
      <c r="C631" s="3" t="inlineStr">
        <is>
          <t>SOJU</t>
        </is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</row>
    <row r="632">
      <c r="A632" s="3">
        <f>"S05"</f>
        <v/>
      </c>
      <c r="B632" s="3" t="inlineStr">
        <is>
          <t>Soju Cheosnun Jeruk</t>
        </is>
      </c>
      <c r="C632" s="3" t="inlineStr">
        <is>
          <t>SOJU</t>
        </is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</row>
    <row r="633">
      <c r="A633" s="3">
        <f>"S06"</f>
        <v/>
      </c>
      <c r="B633" s="3" t="inlineStr">
        <is>
          <t>Soju Cheosnun Leci</t>
        </is>
      </c>
      <c r="C633" s="3" t="inlineStr">
        <is>
          <t>SOJU</t>
        </is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</row>
    <row r="634">
      <c r="A634" s="3">
        <f>"S07"</f>
        <v/>
      </c>
      <c r="B634" s="3" t="inlineStr">
        <is>
          <t>Soju Cheosnun Mix Fruit</t>
        </is>
      </c>
      <c r="C634" s="3" t="inlineStr">
        <is>
          <t>SOJU</t>
        </is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</row>
    <row r="635">
      <c r="A635" s="3">
        <f>"S08"</f>
        <v/>
      </c>
      <c r="B635" s="3" t="inlineStr">
        <is>
          <t>Soju Cheosnun Mangga</t>
        </is>
      </c>
      <c r="C635" s="3" t="inlineStr">
        <is>
          <t>SOJU</t>
        </is>
      </c>
      <c r="D635" s="3" t="n">
        <v>4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4</v>
      </c>
    </row>
    <row r="636">
      <c r="A636" s="3">
        <f>"S09"</f>
        <v/>
      </c>
      <c r="B636" s="3" t="inlineStr">
        <is>
          <t>Soju Cheosnun peach</t>
        </is>
      </c>
      <c r="C636" s="3" t="inlineStr">
        <is>
          <t>SOJU</t>
        </is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</row>
    <row r="637">
      <c r="A637" s="3">
        <f>"S10"</f>
        <v/>
      </c>
      <c r="B637" s="3" t="inlineStr">
        <is>
          <t>Somaek Lychee Can 320ml</t>
        </is>
      </c>
      <c r="C637" s="3" t="inlineStr">
        <is>
          <t>SOJU</t>
        </is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</row>
    <row r="638">
      <c r="A638" s="3">
        <f>"S11"</f>
        <v/>
      </c>
      <c r="B638" s="3" t="inlineStr">
        <is>
          <t>Somaek Yuzu Can 320ml</t>
        </is>
      </c>
      <c r="C638" s="3" t="inlineStr">
        <is>
          <t>SOJU</t>
        </is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</row>
    <row r="639">
      <c r="A639" s="3">
        <f>"S12"</f>
        <v/>
      </c>
      <c r="B639" s="3" t="inlineStr">
        <is>
          <t>Bae Soju Yuzu</t>
        </is>
      </c>
      <c r="C639" s="3" t="inlineStr">
        <is>
          <t>SOJU</t>
        </is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</row>
    <row r="640">
      <c r="A640" s="3">
        <f>"S13"</f>
        <v/>
      </c>
      <c r="B640" s="3" t="inlineStr">
        <is>
          <t>Soju Andong Original 750ml</t>
        </is>
      </c>
      <c r="C640" s="3" t="inlineStr">
        <is>
          <t>SOJU</t>
        </is>
      </c>
      <c r="D640" s="3" t="n">
        <v>12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12</v>
      </c>
    </row>
    <row r="641">
      <c r="A641" s="3">
        <f>"S14"</f>
        <v/>
      </c>
      <c r="B641" s="3" t="inlineStr">
        <is>
          <t>Soju Andong Lychee 750ml</t>
        </is>
      </c>
      <c r="C641" s="3" t="inlineStr">
        <is>
          <t>SOJU</t>
        </is>
      </c>
      <c r="D641" s="3" t="n">
        <v>12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12</v>
      </c>
    </row>
    <row r="642">
      <c r="A642" s="3">
        <f>"S15"</f>
        <v/>
      </c>
      <c r="B642" s="3" t="inlineStr">
        <is>
          <t>Soju Andong Green Tea 750ml</t>
        </is>
      </c>
      <c r="C642" s="3" t="inlineStr">
        <is>
          <t>SOJU</t>
        </is>
      </c>
      <c r="D642" s="3" t="n">
        <v>12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12</v>
      </c>
    </row>
    <row r="643">
      <c r="A643" s="3">
        <f>"S16"</f>
        <v/>
      </c>
      <c r="B643" s="3" t="inlineStr">
        <is>
          <t>Soju R B Leci</t>
        </is>
      </c>
      <c r="C643" s="3" t="inlineStr">
        <is>
          <t>SOJU</t>
        </is>
      </c>
      <c r="D643" s="3" t="n">
        <v>10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9</v>
      </c>
    </row>
    <row r="644">
      <c r="A644" s="3">
        <f>"S17"</f>
        <v/>
      </c>
      <c r="B644" s="3" t="inlineStr">
        <is>
          <t>Soju R B Mangga</t>
        </is>
      </c>
      <c r="C644" s="3" t="inlineStr">
        <is>
          <t>SOJU</t>
        </is>
      </c>
      <c r="D644" s="3" t="n">
        <v>5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5</v>
      </c>
    </row>
    <row r="645">
      <c r="A645" s="3">
        <f>"S18"</f>
        <v/>
      </c>
      <c r="B645" s="3" t="inlineStr">
        <is>
          <t>Soju R B Apel</t>
        </is>
      </c>
      <c r="C645" s="3" t="inlineStr">
        <is>
          <t>SOJU</t>
        </is>
      </c>
      <c r="D645" s="3" t="n">
        <v>5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5</v>
      </c>
    </row>
    <row r="646">
      <c r="A646" s="3">
        <f>"S19"</f>
        <v/>
      </c>
      <c r="B646" s="3" t="inlineStr">
        <is>
          <t>Soju R B Jeruk</t>
        </is>
      </c>
      <c r="C646" s="3" t="inlineStr">
        <is>
          <t>SOJU</t>
        </is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</row>
    <row r="647">
      <c r="A647" s="3">
        <f>"S20"</f>
        <v/>
      </c>
      <c r="B647" s="3" t="inlineStr">
        <is>
          <t>Soju R B Fruity</t>
        </is>
      </c>
      <c r="C647" s="3" t="inlineStr">
        <is>
          <t>SOJU</t>
        </is>
      </c>
      <c r="D647" s="3" t="n">
        <v>10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10</v>
      </c>
    </row>
    <row r="648">
      <c r="A648" s="3">
        <f>"S21"</f>
        <v/>
      </c>
      <c r="B648" s="3" t="inlineStr">
        <is>
          <t>Soju R B Original</t>
        </is>
      </c>
      <c r="C648" s="3" t="inlineStr">
        <is>
          <t>SOJU</t>
        </is>
      </c>
      <c r="D648" s="3" t="n">
        <v>5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5</v>
      </c>
    </row>
    <row r="649">
      <c r="A649" s="3">
        <f>"S22"</f>
        <v/>
      </c>
      <c r="B649" s="3" t="inlineStr">
        <is>
          <t>Soju Wija Original</t>
        </is>
      </c>
      <c r="C649" s="3" t="inlineStr">
        <is>
          <t>SOJU</t>
        </is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</row>
    <row r="650">
      <c r="A650" s="3">
        <f>"S23"</f>
        <v/>
      </c>
      <c r="B650" s="3" t="inlineStr">
        <is>
          <t>Soju Wija Lychee</t>
        </is>
      </c>
      <c r="C650" s="3" t="inlineStr">
        <is>
          <t>SOJU</t>
        </is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</row>
    <row r="651">
      <c r="A651" s="3">
        <f>"S24"</f>
        <v/>
      </c>
      <c r="B651" s="3" t="inlineStr">
        <is>
          <t>Soju Wija Blueberry</t>
        </is>
      </c>
      <c r="C651" s="3" t="inlineStr">
        <is>
          <t>SOJU</t>
        </is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</row>
    <row r="652">
      <c r="A652" s="3">
        <f>"S25"</f>
        <v/>
      </c>
      <c r="B652" s="3" t="inlineStr">
        <is>
          <t>Soju Wija Mangga</t>
        </is>
      </c>
      <c r="C652" s="3" t="inlineStr">
        <is>
          <t>SOJU</t>
        </is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</row>
    <row r="653">
      <c r="A653" s="3">
        <f>"S26"</f>
        <v/>
      </c>
      <c r="B653" s="3" t="inlineStr">
        <is>
          <t>Soju Wija Lemon</t>
        </is>
      </c>
      <c r="C653" s="3" t="inlineStr">
        <is>
          <t>SOJU</t>
        </is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</row>
    <row r="654">
      <c r="A654" s="3">
        <f>"S27"</f>
        <v/>
      </c>
      <c r="B654" s="3" t="inlineStr">
        <is>
          <t>Soju Wija Peach</t>
        </is>
      </c>
      <c r="C654" s="3" t="inlineStr">
        <is>
          <t>SOJU</t>
        </is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</row>
    <row r="655">
      <c r="A655" s="3">
        <f>"S28"</f>
        <v/>
      </c>
      <c r="B655" s="3" t="inlineStr">
        <is>
          <t>Soju Wija Anggur Hijau</t>
        </is>
      </c>
      <c r="C655" s="3" t="inlineStr">
        <is>
          <t>SOJU</t>
        </is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</row>
    <row r="656">
      <c r="A656" s="3">
        <f>"S29"</f>
        <v/>
      </c>
      <c r="B656" s="3" t="inlineStr">
        <is>
          <t>Bae Soju Muscat</t>
        </is>
      </c>
      <c r="C656" s="3" t="inlineStr">
        <is>
          <t>SOJU</t>
        </is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</row>
    <row r="657">
      <c r="A657" s="3">
        <f>"S30"</f>
        <v/>
      </c>
      <c r="B657" s="3" t="inlineStr">
        <is>
          <t>Bae Soju Plum</t>
        </is>
      </c>
      <c r="C657" s="3" t="inlineStr">
        <is>
          <t>SOJU</t>
        </is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</row>
    <row r="658">
      <c r="A658" s="3">
        <f>"S31"</f>
        <v/>
      </c>
      <c r="B658" s="3" t="inlineStr">
        <is>
          <t>Soju R B Markisa</t>
        </is>
      </c>
      <c r="C658" s="3" t="inlineStr">
        <is>
          <t>SOJU</t>
        </is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</row>
    <row r="659">
      <c r="A659" s="3">
        <f>"S32"</f>
        <v/>
      </c>
      <c r="B659" s="3" t="inlineStr">
        <is>
          <t>Soju R B Melon</t>
        </is>
      </c>
      <c r="C659" s="3" t="inlineStr">
        <is>
          <t>SOJU</t>
        </is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</row>
    <row r="660">
      <c r="A660" s="3">
        <f>"S33"</f>
        <v/>
      </c>
      <c r="B660" s="3" t="inlineStr">
        <is>
          <t>Soju R B Anggur Hijau</t>
        </is>
      </c>
      <c r="C660" s="3" t="inlineStr">
        <is>
          <t>SOJU</t>
        </is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</row>
    <row r="661">
      <c r="A661" s="3">
        <f>"S34"</f>
        <v/>
      </c>
      <c r="B661" s="3" t="inlineStr">
        <is>
          <t>Bae Soju Peach Mango</t>
        </is>
      </c>
      <c r="C661" s="3" t="inlineStr">
        <is>
          <t>SOJU</t>
        </is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</row>
    <row r="662">
      <c r="A662" s="3">
        <f>"S35"</f>
        <v/>
      </c>
      <c r="B662" s="3" t="inlineStr">
        <is>
          <t>Soju Wija Melon</t>
        </is>
      </c>
      <c r="C662" s="3" t="inlineStr">
        <is>
          <t>SOJU</t>
        </is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</row>
    <row r="663">
      <c r="A663" s="3">
        <f>"S36"</f>
        <v/>
      </c>
      <c r="B663" s="3" t="inlineStr">
        <is>
          <t>Soju Good Day Apple</t>
        </is>
      </c>
      <c r="C663" s="3" t="inlineStr">
        <is>
          <t>SOJU</t>
        </is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</row>
    <row r="664">
      <c r="A664" s="3">
        <f>"S37"</f>
        <v/>
      </c>
      <c r="B664" s="3" t="inlineStr">
        <is>
          <t>Soju Good Day Blueberry</t>
        </is>
      </c>
      <c r="C664" s="3" t="inlineStr">
        <is>
          <t>SOJU</t>
        </is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</row>
    <row r="665">
      <c r="A665" s="3">
        <f>"S38"</f>
        <v/>
      </c>
      <c r="B665" s="3" t="inlineStr">
        <is>
          <t>Soju Good Day Peach</t>
        </is>
      </c>
      <c r="C665" s="3" t="inlineStr">
        <is>
          <t>SOJU</t>
        </is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</row>
    <row r="666">
      <c r="A666" s="3">
        <f>"S39"</f>
        <v/>
      </c>
      <c r="B666" s="3" t="inlineStr">
        <is>
          <t>Soju Good Day Pineapple</t>
        </is>
      </c>
      <c r="C666" s="3" t="inlineStr">
        <is>
          <t>SOJU</t>
        </is>
      </c>
      <c r="D666" s="3" t="n">
        <v>20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20</v>
      </c>
    </row>
    <row r="667">
      <c r="A667" s="3">
        <f>"S40"</f>
        <v/>
      </c>
      <c r="B667" s="3" t="inlineStr">
        <is>
          <t>Soju Good Day Pomegranate</t>
        </is>
      </c>
      <c r="C667" s="3" t="inlineStr">
        <is>
          <t>SOJU</t>
        </is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</row>
    <row r="668">
      <c r="A668" s="3">
        <f>"S41"</f>
        <v/>
      </c>
      <c r="B668" s="3" t="inlineStr">
        <is>
          <t>Soju Good Day Watermelon</t>
        </is>
      </c>
      <c r="C668" s="3" t="inlineStr">
        <is>
          <t>SOJU</t>
        </is>
      </c>
      <c r="D668" s="3" t="n">
        <v>20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20</v>
      </c>
    </row>
    <row r="669">
      <c r="A669" s="3">
        <f>"S42"</f>
        <v/>
      </c>
      <c r="B669" s="3" t="inlineStr">
        <is>
          <t>Soju R B Sake Original</t>
        </is>
      </c>
      <c r="C669" s="3" t="inlineStr">
        <is>
          <t>SOJU</t>
        </is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</row>
    <row r="670">
      <c r="A670" s="3">
        <f>"S43"</f>
        <v/>
      </c>
      <c r="B670" s="3" t="inlineStr">
        <is>
          <t>Soju R B Sake Peach Lemon</t>
        </is>
      </c>
      <c r="C670" s="3" t="inlineStr">
        <is>
          <t>SOJU</t>
        </is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</row>
    <row r="671">
      <c r="A671" s="3">
        <f>"S44"</f>
        <v/>
      </c>
      <c r="B671" s="3" t="inlineStr">
        <is>
          <t>Soju Jinro Chamisul</t>
        </is>
      </c>
      <c r="C671" s="3" t="inlineStr">
        <is>
          <t>SOJU</t>
        </is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</row>
    <row r="672">
      <c r="A672" s="3">
        <f>"S45"</f>
        <v/>
      </c>
      <c r="B672" s="3" t="inlineStr">
        <is>
          <t>Soju Jinro Green Grape</t>
        </is>
      </c>
      <c r="C672" s="3" t="inlineStr">
        <is>
          <t>SOJU</t>
        </is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</row>
    <row r="673">
      <c r="A673" s="3">
        <f>"S46"</f>
        <v/>
      </c>
      <c r="B673" s="3" t="inlineStr">
        <is>
          <t>Soju Jinro Plum</t>
        </is>
      </c>
      <c r="C673" s="3" t="inlineStr">
        <is>
          <t>SOJU</t>
        </is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</row>
    <row r="674">
      <c r="A674" s="3">
        <f>"S47"</f>
        <v/>
      </c>
      <c r="B674" s="3" t="inlineStr">
        <is>
          <t>Soju Jinro Peach</t>
        </is>
      </c>
      <c r="C674" s="3" t="inlineStr">
        <is>
          <t>SOJU</t>
        </is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</row>
    <row r="675">
      <c r="A675" s="3">
        <f>"S48"</f>
        <v/>
      </c>
      <c r="B675" s="3" t="inlineStr">
        <is>
          <t>Soju Jinro Grapefruit</t>
        </is>
      </c>
      <c r="C675" s="3" t="inlineStr">
        <is>
          <t>SOJU</t>
        </is>
      </c>
      <c r="D675" s="3" t="n">
        <v>4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4</v>
      </c>
    </row>
    <row r="676">
      <c r="A676" s="3">
        <f>"S49"</f>
        <v/>
      </c>
      <c r="B676" s="3" t="inlineStr">
        <is>
          <t>Soju Jinro Strawberry</t>
        </is>
      </c>
      <c r="C676" s="3" t="inlineStr">
        <is>
          <t>SOJU</t>
        </is>
      </c>
      <c r="D676" s="3" t="n">
        <v>5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5</v>
      </c>
    </row>
    <row r="677">
      <c r="A677" s="3">
        <f>"S50"</f>
        <v/>
      </c>
      <c r="B677" s="3" t="inlineStr">
        <is>
          <t>Soju Chum Churum Apple</t>
        </is>
      </c>
      <c r="C677" s="3" t="inlineStr">
        <is>
          <t>SOJU</t>
        </is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</row>
    <row r="678">
      <c r="A678" s="3">
        <f>"S51"</f>
        <v/>
      </c>
      <c r="B678" s="3" t="inlineStr">
        <is>
          <t>Soju Chum Churum Apple Manggo</t>
        </is>
      </c>
      <c r="C678" s="3" t="inlineStr">
        <is>
          <t>SOJU</t>
        </is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</row>
    <row r="679">
      <c r="A679" s="3">
        <f>"S52"</f>
        <v/>
      </c>
      <c r="B679" s="3" t="inlineStr">
        <is>
          <t>Soju Daebak Original</t>
        </is>
      </c>
      <c r="C679" s="3" t="inlineStr">
        <is>
          <t>SOJU</t>
        </is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</row>
    <row r="680">
      <c r="A680" s="3">
        <f>"S53"</f>
        <v/>
      </c>
      <c r="B680" s="3" t="inlineStr">
        <is>
          <t>Soju Daebak Peach</t>
        </is>
      </c>
      <c r="C680" s="3" t="inlineStr">
        <is>
          <t>SOJU</t>
        </is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</row>
    <row r="681">
      <c r="A681" s="3">
        <f>"S54"</f>
        <v/>
      </c>
      <c r="B681" s="3" t="inlineStr">
        <is>
          <t>Soju Daebak Mango</t>
        </is>
      </c>
      <c r="C681" s="3" t="inlineStr">
        <is>
          <t>SOJU</t>
        </is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</row>
    <row r="682">
      <c r="A682" s="3">
        <f>"S55"</f>
        <v/>
      </c>
      <c r="B682" s="3" t="inlineStr">
        <is>
          <t>Soju Daebak Grape</t>
        </is>
      </c>
      <c r="C682" s="3" t="inlineStr">
        <is>
          <t>SOJU</t>
        </is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</row>
    <row r="683">
      <c r="A683" s="3">
        <f>"S56"</f>
        <v/>
      </c>
      <c r="B683" s="3" t="inlineStr">
        <is>
          <t>Soju Daebak Lemon</t>
        </is>
      </c>
      <c r="C683" s="3" t="inlineStr">
        <is>
          <t>SOJU</t>
        </is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</row>
    <row r="684">
      <c r="A684" s="3">
        <f>"S57"</f>
        <v/>
      </c>
      <c r="B684" s="3" t="inlineStr">
        <is>
          <t>Soju Daebak Lychee</t>
        </is>
      </c>
      <c r="C684" s="3" t="inlineStr">
        <is>
          <t>SOJU</t>
        </is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</row>
    <row r="685">
      <c r="A685" s="3">
        <f>"S58"</f>
        <v/>
      </c>
      <c r="B685" s="3" t="inlineStr">
        <is>
          <t>Soju Chum Churum Yoghurt</t>
        </is>
      </c>
      <c r="C685" s="3" t="inlineStr">
        <is>
          <t>SOJU</t>
        </is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</row>
    <row r="686">
      <c r="A686" s="3">
        <f>"S59"</f>
        <v/>
      </c>
      <c r="B686" s="3" t="inlineStr">
        <is>
          <t>Soju Good Day Original</t>
        </is>
      </c>
      <c r="C686" s="3" t="inlineStr">
        <is>
          <t>SOJU</t>
        </is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</row>
    <row r="687">
      <c r="A687" s="3">
        <f>"S60"</f>
        <v/>
      </c>
      <c r="B687" s="3" t="inlineStr">
        <is>
          <t>Soju Good Day Cherry</t>
        </is>
      </c>
      <c r="C687" s="3" t="inlineStr">
        <is>
          <t>SOJU</t>
        </is>
      </c>
      <c r="D687" s="3" t="n">
        <v>20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20</v>
      </c>
    </row>
    <row r="688">
      <c r="A688" s="3">
        <f>"S61"</f>
        <v/>
      </c>
      <c r="B688" s="3" t="inlineStr">
        <is>
          <t>Soju Happy Apple</t>
        </is>
      </c>
      <c r="C688" s="3" t="inlineStr">
        <is>
          <t>SOJU</t>
        </is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</row>
    <row r="689">
      <c r="A689" s="3">
        <f>"S62"</f>
        <v/>
      </c>
      <c r="B689" s="3" t="inlineStr">
        <is>
          <t>Soju Happy Blueberry</t>
        </is>
      </c>
      <c r="C689" s="3" t="inlineStr">
        <is>
          <t>SOJU</t>
        </is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</row>
    <row r="690">
      <c r="A690" s="3">
        <f>"S63"</f>
        <v/>
      </c>
      <c r="B690" s="3" t="inlineStr">
        <is>
          <t>Soju Happy Grape</t>
        </is>
      </c>
      <c r="C690" s="3" t="inlineStr">
        <is>
          <t>SOJU</t>
        </is>
      </c>
      <c r="D690" s="3" t="n">
        <v>10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10</v>
      </c>
    </row>
    <row r="691">
      <c r="A691" s="3">
        <f>"S64"</f>
        <v/>
      </c>
      <c r="B691" s="3" t="inlineStr">
        <is>
          <t>Soju Happy Lemon</t>
        </is>
      </c>
      <c r="C691" s="3" t="inlineStr">
        <is>
          <t>SOJU</t>
        </is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</row>
    <row r="692">
      <c r="A692" s="3">
        <f>"S65"</f>
        <v/>
      </c>
      <c r="B692" s="3" t="inlineStr">
        <is>
          <t>Soju Happy Lychee</t>
        </is>
      </c>
      <c r="C692" s="3" t="inlineStr">
        <is>
          <t>SOJU</t>
        </is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</row>
    <row r="693">
      <c r="A693" s="3">
        <f>"S66"</f>
        <v/>
      </c>
      <c r="B693" s="3" t="inlineStr">
        <is>
          <t>Soju Happy Mangga</t>
        </is>
      </c>
      <c r="C693" s="3" t="inlineStr">
        <is>
          <t>SOJU</t>
        </is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</row>
    <row r="694">
      <c r="A694" s="3">
        <f>"S67"</f>
        <v/>
      </c>
      <c r="B694" s="3" t="inlineStr">
        <is>
          <t>Soju Happy Original</t>
        </is>
      </c>
      <c r="C694" s="3" t="inlineStr">
        <is>
          <t>SOJU</t>
        </is>
      </c>
      <c r="D694" s="3" t="n">
        <v>10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10</v>
      </c>
    </row>
    <row r="695">
      <c r="A695" s="3">
        <f>"S68"</f>
        <v/>
      </c>
      <c r="B695" s="3" t="inlineStr">
        <is>
          <t>Soju Happy Peach</t>
        </is>
      </c>
      <c r="C695" s="3" t="inlineStr">
        <is>
          <t>SOJU</t>
        </is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</row>
    <row r="696">
      <c r="A696" s="3">
        <f>"S69"</f>
        <v/>
      </c>
      <c r="B696" s="3" t="inlineStr">
        <is>
          <t>Soju Happy Strawberry</t>
        </is>
      </c>
      <c r="C696" s="3" t="inlineStr">
        <is>
          <t>SOJU</t>
        </is>
      </c>
      <c r="D696" s="3" t="n">
        <v>10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10</v>
      </c>
    </row>
    <row r="697">
      <c r="A697" s="3">
        <f>"S70"</f>
        <v/>
      </c>
      <c r="B697" s="3" t="inlineStr">
        <is>
          <t>Soju Happy Yogurt</t>
        </is>
      </c>
      <c r="C697" s="3" t="inlineStr">
        <is>
          <t>SOJU</t>
        </is>
      </c>
      <c r="D697" s="3" t="n">
        <v>5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5</v>
      </c>
    </row>
    <row r="698">
      <c r="A698" s="3">
        <f>"S71"</f>
        <v/>
      </c>
      <c r="B698" s="3" t="inlineStr">
        <is>
          <t>Soju Jinro Chamisul Pet 1,8l</t>
        </is>
      </c>
      <c r="C698" s="3" t="inlineStr">
        <is>
          <t>SOJU</t>
        </is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</row>
    <row r="699">
      <c r="A699" s="3">
        <f>"S72"</f>
        <v/>
      </c>
      <c r="B699" s="3" t="inlineStr">
        <is>
          <t>Soju Jinro Is Back</t>
        </is>
      </c>
      <c r="C699" s="3" t="inlineStr">
        <is>
          <t>SOJU</t>
        </is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</row>
    <row r="700">
      <c r="A700" s="3">
        <f>"S73"</f>
        <v/>
      </c>
      <c r="B700" s="3" t="inlineStr">
        <is>
          <t>Soju Jinro Ilpoom 375ml</t>
        </is>
      </c>
      <c r="C700" s="3" t="inlineStr">
        <is>
          <t>SOJU</t>
        </is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</row>
    <row r="701">
      <c r="A701" s="3">
        <f>"S74"</f>
        <v/>
      </c>
      <c r="B701" s="3" t="inlineStr">
        <is>
          <t>Soju Andong Original 375ml</t>
        </is>
      </c>
      <c r="C701" s="3" t="inlineStr">
        <is>
          <t>SOJU</t>
        </is>
      </c>
      <c r="D701" s="3" t="n">
        <v>4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4</v>
      </c>
    </row>
    <row r="702">
      <c r="A702" s="3">
        <f>"S75"</f>
        <v/>
      </c>
      <c r="B702" s="3" t="inlineStr">
        <is>
          <t>Soju Andong Green Grape 375ml</t>
        </is>
      </c>
      <c r="C702" s="3" t="inlineStr">
        <is>
          <t>SOJU</t>
        </is>
      </c>
      <c r="D702" s="3" t="n">
        <v>4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4</v>
      </c>
    </row>
    <row r="703">
      <c r="A703" s="3">
        <f>"S76"</f>
        <v/>
      </c>
      <c r="B703" s="3" t="inlineStr">
        <is>
          <t>Soju Andong Peach 375ml</t>
        </is>
      </c>
      <c r="C703" s="3" t="inlineStr">
        <is>
          <t>SOJU</t>
        </is>
      </c>
      <c r="D703" s="3" t="n">
        <v>4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4</v>
      </c>
    </row>
    <row r="704">
      <c r="A704" s="3">
        <f>"S77"</f>
        <v/>
      </c>
      <c r="B704" s="3" t="inlineStr">
        <is>
          <t>Soju Andong Blueberry 375ml</t>
        </is>
      </c>
      <c r="C704" s="3" t="inlineStr">
        <is>
          <t>SOJU</t>
        </is>
      </c>
      <c r="D704" s="3" t="n">
        <v>4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4</v>
      </c>
    </row>
    <row r="705">
      <c r="A705" s="3">
        <f>"S78"</f>
        <v/>
      </c>
      <c r="B705" s="3" t="inlineStr">
        <is>
          <t>Soju Andong Strawberry 375ml</t>
        </is>
      </c>
      <c r="C705" s="3" t="inlineStr">
        <is>
          <t>SOJU</t>
        </is>
      </c>
      <c r="D705" s="3" t="n">
        <v>4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4</v>
      </c>
    </row>
    <row r="706">
      <c r="A706" s="3">
        <f>"S79"</f>
        <v/>
      </c>
      <c r="B706" s="3" t="inlineStr">
        <is>
          <t>Soju Andong Mixed Berries 750ml</t>
        </is>
      </c>
      <c r="C706" s="3" t="inlineStr">
        <is>
          <t>SOJU</t>
        </is>
      </c>
      <c r="D706" s="3" t="n">
        <v>12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12</v>
      </c>
    </row>
    <row r="707">
      <c r="A707" s="3">
        <f>"S80"</f>
        <v/>
      </c>
      <c r="B707" s="3" t="inlineStr">
        <is>
          <t>Somaek Soju Mango Botol 250ml</t>
        </is>
      </c>
      <c r="C707" s="3" t="inlineStr">
        <is>
          <t>SOJU</t>
        </is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</row>
    <row r="708">
      <c r="A708" s="3">
        <f>"S81"</f>
        <v/>
      </c>
      <c r="B708" s="3" t="inlineStr">
        <is>
          <t>Somaek Soju Strawberry Botol 250ml</t>
        </is>
      </c>
      <c r="C708" s="3" t="inlineStr">
        <is>
          <t>SOJU</t>
        </is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</row>
    <row r="709">
      <c r="A709" s="3">
        <f>"S82"</f>
        <v/>
      </c>
      <c r="B709" s="3" t="inlineStr">
        <is>
          <t>Somaek Soju Yuzu Botol 250ml</t>
        </is>
      </c>
      <c r="C709" s="3" t="inlineStr">
        <is>
          <t>SOJU</t>
        </is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</row>
    <row r="710">
      <c r="A710" s="3">
        <f>"S83"</f>
        <v/>
      </c>
      <c r="B710" s="3" t="inlineStr">
        <is>
          <t>Somaek Soju Lychee Botol 250ml</t>
        </is>
      </c>
      <c r="C710" s="3" t="inlineStr">
        <is>
          <t>SOJU</t>
        </is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</row>
    <row r="711">
      <c r="A711" s="3">
        <f>"SN01"</f>
        <v/>
      </c>
      <c r="B711" s="3" t="inlineStr">
        <is>
          <t>Camilan Serba 6k</t>
        </is>
      </c>
      <c r="C711" s="3" t="inlineStr">
        <is>
          <t>SNACK</t>
        </is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</row>
    <row r="712">
      <c r="A712" s="3">
        <f>"SN02"</f>
        <v/>
      </c>
      <c r="B712" s="3" t="inlineStr">
        <is>
          <t>keripik singkong</t>
        </is>
      </c>
      <c r="C712" s="3" t="inlineStr">
        <is>
          <t>SNACK</t>
        </is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</row>
    <row r="713">
      <c r="A713" s="3">
        <f>"SN03"</f>
        <v/>
      </c>
      <c r="B713" s="3" t="inlineStr">
        <is>
          <t>Makroni</t>
        </is>
      </c>
      <c r="C713" s="3" t="inlineStr">
        <is>
          <t>SNACK</t>
        </is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</row>
    <row r="714">
      <c r="A714" s="3">
        <f>"SN04"</f>
        <v/>
      </c>
      <c r="B714" s="3" t="inlineStr">
        <is>
          <t>Garuda</t>
        </is>
      </c>
      <c r="C714" s="3" t="inlineStr">
        <is>
          <t>SNACK</t>
        </is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</row>
    <row r="715">
      <c r="A715" s="3">
        <f>"SN05"</f>
        <v/>
      </c>
      <c r="B715" s="3" t="inlineStr">
        <is>
          <t>Snack AJM</t>
        </is>
      </c>
      <c r="C715" s="3" t="inlineStr">
        <is>
          <t>SNACK</t>
        </is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</row>
    <row r="716">
      <c r="A716" s="3">
        <f>"SN06"</f>
        <v/>
      </c>
      <c r="B716" s="3" t="inlineStr">
        <is>
          <t>Kacang</t>
        </is>
      </c>
      <c r="C716" s="3" t="inlineStr">
        <is>
          <t>SNACK</t>
        </is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</row>
    <row r="717">
      <c r="A717" s="3">
        <f>"SN07"</f>
        <v/>
      </c>
      <c r="B717" s="3" t="inlineStr">
        <is>
          <t>Camilan Serba 12k</t>
        </is>
      </c>
      <c r="C717" s="3" t="inlineStr">
        <is>
          <t>SNACK</t>
        </is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</row>
    <row r="718">
      <c r="A718" s="3">
        <f>"SN08"</f>
        <v/>
      </c>
      <c r="B718" s="3" t="inlineStr">
        <is>
          <t>Camilan Serba 5k</t>
        </is>
      </c>
      <c r="C718" s="3" t="inlineStr">
        <is>
          <t>SNACK</t>
        </is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</row>
    <row r="719">
      <c r="A719" s="3">
        <f>"SN09"</f>
        <v/>
      </c>
      <c r="B719" s="3" t="inlineStr">
        <is>
          <t>Kacang SBM</t>
        </is>
      </c>
      <c r="C719" s="3" t="inlineStr">
        <is>
          <t>SNACK</t>
        </is>
      </c>
      <c r="D719" s="3" t="n">
        <v>16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16</v>
      </c>
    </row>
    <row r="720">
      <c r="A720" s="3">
        <f>"SN10"</f>
        <v/>
      </c>
      <c r="B720" s="3" t="inlineStr">
        <is>
          <t>Potatoq Seaweed</t>
        </is>
      </c>
      <c r="C720" s="3" t="inlineStr">
        <is>
          <t>SNACK</t>
        </is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24</v>
      </c>
    </row>
    <row r="721">
      <c r="A721" s="3">
        <f>"SN11"</f>
        <v/>
      </c>
      <c r="B721" s="3" t="inlineStr">
        <is>
          <t>Potatoq Mexico Sausage</t>
        </is>
      </c>
      <c r="C721" s="3" t="inlineStr">
        <is>
          <t>SNACK</t>
        </is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</row>
    <row r="722">
      <c r="A722" s="3">
        <f>"SN12"</f>
        <v/>
      </c>
      <c r="B722" s="3" t="inlineStr">
        <is>
          <t>Potatoq BBQ</t>
        </is>
      </c>
      <c r="C722" s="3" t="inlineStr">
        <is>
          <t>SNACK</t>
        </is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</row>
    <row r="723">
      <c r="A723" s="3">
        <f>"SN13"</f>
        <v/>
      </c>
      <c r="B723" s="3" t="inlineStr">
        <is>
          <t>Hexos</t>
        </is>
      </c>
      <c r="C723" s="3" t="inlineStr">
        <is>
          <t>SNACK</t>
        </is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</row>
    <row r="724">
      <c r="A724" s="3">
        <f>"SN14"</f>
        <v/>
      </c>
      <c r="B724" s="3" t="inlineStr">
        <is>
          <t>Ricepop Original</t>
        </is>
      </c>
      <c r="C724" s="3" t="inlineStr">
        <is>
          <t>SNACK</t>
        </is>
      </c>
      <c r="D724" s="3" t="n">
        <v>60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60</v>
      </c>
    </row>
    <row r="725">
      <c r="A725" s="3">
        <f>"SN15"</f>
        <v/>
      </c>
      <c r="B725" s="3" t="inlineStr">
        <is>
          <t>Bakpia Abon Ayam Original</t>
        </is>
      </c>
      <c r="C725" s="3" t="inlineStr">
        <is>
          <t>SNACK</t>
        </is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</row>
    <row r="726">
      <c r="A726" s="3">
        <f>"SN16"</f>
        <v/>
      </c>
      <c r="B726" s="3" t="inlineStr">
        <is>
          <t>Bakpia Abon Ayam Spicy</t>
        </is>
      </c>
      <c r="C726" s="3" t="inlineStr">
        <is>
          <t>SNACK</t>
        </is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</row>
    <row r="727">
      <c r="A727" s="3">
        <f>"SPL01"</f>
        <v/>
      </c>
      <c r="B727" s="3" t="inlineStr">
        <is>
          <t>Spark lemon</t>
        </is>
      </c>
      <c r="C727" s="3" t="inlineStr">
        <is>
          <t>RUM</t>
        </is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</row>
    <row r="728">
      <c r="A728" s="3">
        <f>"SPO01"</f>
        <v/>
      </c>
      <c r="B728" s="3" t="inlineStr">
        <is>
          <t>Spark orange</t>
        </is>
      </c>
      <c r="C728" s="3" t="inlineStr">
        <is>
          <t>RUM</t>
        </is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</row>
    <row r="729">
      <c r="A729" s="3">
        <f>"TQ01"</f>
        <v/>
      </c>
      <c r="B729" s="3" t="inlineStr">
        <is>
          <t>La Pina Blanco Tequila 700ml</t>
        </is>
      </c>
      <c r="C729" s="3" t="inlineStr">
        <is>
          <t>Tequila</t>
        </is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</row>
    <row r="730">
      <c r="A730" s="3">
        <f>"TQ02"</f>
        <v/>
      </c>
      <c r="B730" s="3" t="inlineStr">
        <is>
          <t>La Pina Reposado Tequila 700ml</t>
        </is>
      </c>
      <c r="C730" s="3" t="inlineStr">
        <is>
          <t>Tequila</t>
        </is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</row>
    <row r="731">
      <c r="A731" s="3">
        <f>"V01"</f>
        <v/>
      </c>
      <c r="B731" s="3" t="inlineStr">
        <is>
          <t>Iceland 250ml</t>
        </is>
      </c>
      <c r="C731" s="3" t="inlineStr">
        <is>
          <t>VODKA</t>
        </is>
      </c>
      <c r="D731" s="3" t="n">
        <v>10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10</v>
      </c>
    </row>
    <row r="732">
      <c r="A732" s="3">
        <f>"V011"</f>
        <v/>
      </c>
      <c r="B732" s="3" t="inlineStr">
        <is>
          <t>Friend Ship Coffe 180ml</t>
        </is>
      </c>
      <c r="C732" s="3" t="inlineStr">
        <is>
          <t>VODKA</t>
        </is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</row>
    <row r="733">
      <c r="A733" s="3">
        <f>"V02"</f>
        <v/>
      </c>
      <c r="B733" s="3" t="inlineStr">
        <is>
          <t>Iceland 350ml</t>
        </is>
      </c>
      <c r="C733" s="3" t="inlineStr">
        <is>
          <t>VODKA</t>
        </is>
      </c>
      <c r="D733" s="3" t="n">
        <v>10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10</v>
      </c>
    </row>
    <row r="734">
      <c r="A734" s="3">
        <f>"V03"</f>
        <v/>
      </c>
      <c r="B734" s="3" t="inlineStr">
        <is>
          <t>Iceland 500ml</t>
        </is>
      </c>
      <c r="C734" s="3" t="inlineStr">
        <is>
          <t>VODKA</t>
        </is>
      </c>
      <c r="D734" s="3" t="n">
        <v>9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9</v>
      </c>
    </row>
    <row r="735">
      <c r="A735" s="3">
        <f>"V04"</f>
        <v/>
      </c>
      <c r="B735" s="3" t="inlineStr">
        <is>
          <t>Iceland 700ml</t>
        </is>
      </c>
      <c r="C735" s="3" t="inlineStr">
        <is>
          <t>VODKA</t>
        </is>
      </c>
      <c r="D735" s="3" t="n">
        <v>2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25</v>
      </c>
    </row>
    <row r="736">
      <c r="A736" s="3">
        <f>"V05"</f>
        <v/>
      </c>
      <c r="B736" s="3" t="inlineStr">
        <is>
          <t>Iceland Citrus 700ml</t>
        </is>
      </c>
      <c r="C736" s="3" t="inlineStr">
        <is>
          <t>VODKA</t>
        </is>
      </c>
      <c r="D736" s="3" t="n">
        <v>11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11</v>
      </c>
    </row>
    <row r="737">
      <c r="A737" s="3">
        <f>"V06"</f>
        <v/>
      </c>
      <c r="B737" s="3" t="inlineStr">
        <is>
          <t>Iceland Orange 700ml</t>
        </is>
      </c>
      <c r="C737" s="3" t="inlineStr">
        <is>
          <t>VODKA</t>
        </is>
      </c>
      <c r="D737" s="3" t="n">
        <v>12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12</v>
      </c>
    </row>
    <row r="738">
      <c r="A738" s="3">
        <f>"V07"</f>
        <v/>
      </c>
      <c r="B738" s="3" t="inlineStr">
        <is>
          <t>New port biru</t>
        </is>
      </c>
      <c r="C738" s="3" t="inlineStr">
        <is>
          <t>VODKA</t>
        </is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</row>
    <row r="739">
      <c r="A739" s="3">
        <f>"V08"</f>
        <v/>
      </c>
      <c r="B739" s="3" t="inlineStr">
        <is>
          <t>New port kuning</t>
        </is>
      </c>
      <c r="C739" s="3" t="inlineStr">
        <is>
          <t>VODKA</t>
        </is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</row>
    <row r="740">
      <c r="A740" s="3">
        <f>"V09"</f>
        <v/>
      </c>
      <c r="B740" s="3" t="inlineStr">
        <is>
          <t>New port merah</t>
        </is>
      </c>
      <c r="C740" s="3" t="inlineStr">
        <is>
          <t>VODKA</t>
        </is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</row>
    <row r="741">
      <c r="A741" s="3">
        <f>"V10"</f>
        <v/>
      </c>
      <c r="B741" s="3" t="inlineStr">
        <is>
          <t>Tm 500ml</t>
        </is>
      </c>
      <c r="C741" s="3" t="inlineStr">
        <is>
          <t>VODKA</t>
        </is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</row>
    <row r="742">
      <c r="A742" s="3">
        <f>"V100"</f>
        <v/>
      </c>
      <c r="B742" s="3" t="inlineStr">
        <is>
          <t>Blue Vodka 700ml</t>
        </is>
      </c>
      <c r="C742" s="3" t="inlineStr">
        <is>
          <t>VODKA</t>
        </is>
      </c>
      <c r="D742" s="3" t="n">
        <v>1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1</v>
      </c>
    </row>
    <row r="743">
      <c r="A743" s="3">
        <f>"V101"</f>
        <v/>
      </c>
      <c r="B743" s="3" t="inlineStr">
        <is>
          <t>Smirnoff Green Apple 200ml</t>
        </is>
      </c>
      <c r="C743" s="3" t="inlineStr">
        <is>
          <t>VODKA</t>
        </is>
      </c>
      <c r="D743" s="3" t="n">
        <v>3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3</v>
      </c>
    </row>
    <row r="744">
      <c r="A744" s="3">
        <f>"V102"</f>
        <v/>
      </c>
      <c r="B744" s="3" t="inlineStr">
        <is>
          <t>Smirnoff Pink Lemonade 200ml</t>
        </is>
      </c>
      <c r="C744" s="3" t="inlineStr">
        <is>
          <t>VODKA</t>
        </is>
      </c>
      <c r="D744" s="3" t="n">
        <v>6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6</v>
      </c>
    </row>
    <row r="745">
      <c r="A745" s="3">
        <f>"V103"</f>
        <v/>
      </c>
      <c r="B745" s="3" t="inlineStr">
        <is>
          <t>Smirnoff Vodka Original 1Ltr</t>
        </is>
      </c>
      <c r="C745" s="3" t="inlineStr">
        <is>
          <t>VODKA</t>
        </is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</row>
    <row r="746">
      <c r="A746" s="3">
        <f>"V104"</f>
        <v/>
      </c>
      <c r="B746" s="3" t="inlineStr">
        <is>
          <t>Sicario Vodka Lychee 750ml</t>
        </is>
      </c>
      <c r="C746" s="3" t="inlineStr">
        <is>
          <t>VODKA</t>
        </is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</row>
    <row r="747">
      <c r="A747" s="3">
        <f>"V105"</f>
        <v/>
      </c>
      <c r="B747" s="3" t="inlineStr">
        <is>
          <t>Sicario Vodka Original 750ml</t>
        </is>
      </c>
      <c r="C747" s="3" t="inlineStr">
        <is>
          <t>VODKA</t>
        </is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</row>
    <row r="748">
      <c r="A748" s="3">
        <f>"V106"</f>
        <v/>
      </c>
      <c r="B748" s="3" t="inlineStr">
        <is>
          <t>Sicario Vodka Orange 750ml</t>
        </is>
      </c>
      <c r="C748" s="3" t="inlineStr">
        <is>
          <t>VODKA</t>
        </is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</row>
    <row r="749">
      <c r="A749" s="3">
        <f>"V107"</f>
        <v/>
      </c>
      <c r="B749" s="3" t="inlineStr">
        <is>
          <t>Sicario Vodka Blackcurrant 750ml</t>
        </is>
      </c>
      <c r="C749" s="3" t="inlineStr">
        <is>
          <t>VODKA</t>
        </is>
      </c>
      <c r="D749" s="3" t="n">
        <v>1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1</v>
      </c>
    </row>
    <row r="750">
      <c r="A750" s="3">
        <f>"V109"</f>
        <v/>
      </c>
      <c r="B750" s="3" t="inlineStr">
        <is>
          <t>Maze Maze Vodka Lychee 700ml</t>
        </is>
      </c>
      <c r="C750" s="3" t="inlineStr">
        <is>
          <t>VODKA</t>
        </is>
      </c>
      <c r="D750" s="3" t="n">
        <v>6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6</v>
      </c>
    </row>
    <row r="751">
      <c r="A751" s="3">
        <f>"V11"</f>
        <v/>
      </c>
      <c r="B751" s="3" t="inlineStr">
        <is>
          <t>Tm 1 ltr</t>
        </is>
      </c>
      <c r="C751" s="3" t="inlineStr">
        <is>
          <t>VODKA</t>
        </is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</row>
    <row r="752">
      <c r="A752" s="3">
        <f>"V110"</f>
        <v/>
      </c>
      <c r="B752" s="3" t="inlineStr">
        <is>
          <t>Maze Maze Vodka Orange 700ml</t>
        </is>
      </c>
      <c r="C752" s="3" t="inlineStr">
        <is>
          <t>VODKA</t>
        </is>
      </c>
      <c r="D752" s="3" t="n">
        <v>3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3</v>
      </c>
    </row>
    <row r="753">
      <c r="A753" s="3">
        <f>"V111"</f>
        <v/>
      </c>
      <c r="B753" s="3" t="inlineStr">
        <is>
          <t>Mansion House Vodka 700ml</t>
        </is>
      </c>
      <c r="C753" s="3" t="inlineStr">
        <is>
          <t>VODKA</t>
        </is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</row>
    <row r="754">
      <c r="A754" s="3">
        <f>"V112"</f>
        <v/>
      </c>
      <c r="B754" s="3" t="inlineStr">
        <is>
          <t>Iceland Mix Can Long Island 250ml</t>
        </is>
      </c>
      <c r="C754" s="3" t="inlineStr">
        <is>
          <t>VODKA</t>
        </is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</row>
    <row r="755">
      <c r="A755" s="3">
        <f>"V113"</f>
        <v/>
      </c>
      <c r="B755" s="3" t="inlineStr">
        <is>
          <t>Iceland Mix Can Lychee Martini 250ml</t>
        </is>
      </c>
      <c r="C755" s="3" t="inlineStr">
        <is>
          <t>VODKA</t>
        </is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</row>
    <row r="756">
      <c r="A756" s="3">
        <f>"V114"</f>
        <v/>
      </c>
      <c r="B756" s="3" t="inlineStr">
        <is>
          <t>Mix Max Can Exotic Blue 250ml</t>
        </is>
      </c>
      <c r="C756" s="3" t="inlineStr">
        <is>
          <t>VODKA</t>
        </is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</row>
    <row r="757">
      <c r="A757" s="3">
        <f>"V115"</f>
        <v/>
      </c>
      <c r="B757" s="3" t="inlineStr">
        <is>
          <t>Mix Max Can Anggur Merah 250ml</t>
        </is>
      </c>
      <c r="C757" s="3" t="inlineStr">
        <is>
          <t>VODKA</t>
        </is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</row>
    <row r="758">
      <c r="A758" s="3">
        <f>"V116"</f>
        <v/>
      </c>
      <c r="B758" s="3" t="inlineStr">
        <is>
          <t>MCDonald Vodka Black Tea 500ml 40</t>
        </is>
      </c>
      <c r="C758" s="3" t="inlineStr">
        <is>
          <t>VODKA</t>
        </is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</row>
    <row r="759">
      <c r="A759" s="3">
        <f>"V117"</f>
        <v/>
      </c>
      <c r="B759" s="3" t="inlineStr">
        <is>
          <t>Kakatua Coffee 300ml</t>
        </is>
      </c>
      <c r="C759" s="3" t="inlineStr">
        <is>
          <t>VODKA</t>
        </is>
      </c>
      <c r="D759" s="3" t="n">
        <v>24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24</v>
      </c>
    </row>
    <row r="760">
      <c r="A760" s="3">
        <f>"V118"</f>
        <v/>
      </c>
      <c r="B760" s="3" t="inlineStr">
        <is>
          <t>New Port Golden 1Ltr</t>
        </is>
      </c>
      <c r="C760" s="3" t="inlineStr">
        <is>
          <t>VODKA</t>
        </is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</row>
    <row r="761">
      <c r="A761" s="3">
        <f>"V119"</f>
        <v/>
      </c>
      <c r="B761" s="3" t="inlineStr">
        <is>
          <t>New Port Black Ice Tea</t>
        </is>
      </c>
      <c r="C761" s="3" t="inlineStr">
        <is>
          <t>VODKA</t>
        </is>
      </c>
      <c r="D761" s="3" t="n">
        <v>60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60</v>
      </c>
    </row>
    <row r="762">
      <c r="A762" s="3">
        <f>"V12"</f>
        <v/>
      </c>
      <c r="B762" s="3" t="inlineStr">
        <is>
          <t>Tm Jenever 250ml</t>
        </is>
      </c>
      <c r="C762" s="3" t="inlineStr">
        <is>
          <t>VODKA</t>
        </is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</row>
    <row r="763">
      <c r="A763" s="3">
        <f>"V120"</f>
        <v/>
      </c>
      <c r="B763" s="3" t="inlineStr">
        <is>
          <t>McDonald Vodka Black Tea 1Ltr</t>
        </is>
      </c>
      <c r="C763" s="3" t="inlineStr">
        <is>
          <t>VODKA</t>
        </is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</row>
    <row r="764">
      <c r="A764" s="3">
        <f>"V121"</f>
        <v/>
      </c>
      <c r="B764" s="3" t="inlineStr">
        <is>
          <t>McDonald Vodka Lychee 1Ltr</t>
        </is>
      </c>
      <c r="C764" s="3" t="inlineStr">
        <is>
          <t>VODKA</t>
        </is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</row>
    <row r="765">
      <c r="A765" s="3">
        <f>"V122"</f>
        <v/>
      </c>
      <c r="B765" s="3" t="inlineStr">
        <is>
          <t>Mcdonald Blacktea 500ml 19</t>
        </is>
      </c>
      <c r="C765" s="3" t="inlineStr">
        <is>
          <t>VODKA</t>
        </is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12</v>
      </c>
    </row>
    <row r="766">
      <c r="A766" s="3">
        <f>"V123"</f>
        <v/>
      </c>
      <c r="B766" s="3" t="inlineStr">
        <is>
          <t>Mcdonald Lychee 500ml</t>
        </is>
      </c>
      <c r="C766" s="3" t="inlineStr">
        <is>
          <t>VODKA</t>
        </is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12</v>
      </c>
    </row>
    <row r="767">
      <c r="A767" s="3">
        <f>"V13"</f>
        <v/>
      </c>
      <c r="B767" s="3" t="inlineStr">
        <is>
          <t>Tm Jenever 500ml</t>
        </is>
      </c>
      <c r="C767" s="3" t="inlineStr">
        <is>
          <t>VODKA</t>
        </is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</row>
    <row r="768">
      <c r="A768" s="3">
        <f>"V14"</f>
        <v/>
      </c>
      <c r="B768" s="3" t="inlineStr">
        <is>
          <t>Tm Jenever 1 ltr</t>
        </is>
      </c>
      <c r="C768" s="3" t="inlineStr">
        <is>
          <t>VODKA</t>
        </is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</row>
    <row r="769">
      <c r="A769" s="3">
        <f>"V15"</f>
        <v/>
      </c>
      <c r="B769" s="3" t="inlineStr">
        <is>
          <t>Tm Lemon 1ltr</t>
        </is>
      </c>
      <c r="C769" s="3" t="inlineStr">
        <is>
          <t>VODKA</t>
        </is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</row>
    <row r="770">
      <c r="A770" s="3">
        <f>"V16"</f>
        <v/>
      </c>
      <c r="B770" s="3" t="inlineStr">
        <is>
          <t>Asoka Vodka</t>
        </is>
      </c>
      <c r="C770" s="3" t="inlineStr">
        <is>
          <t>VODKA</t>
        </is>
      </c>
      <c r="D770" s="3" t="n">
        <v>11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11</v>
      </c>
    </row>
    <row r="771">
      <c r="A771" s="3">
        <f>"V17"</f>
        <v/>
      </c>
      <c r="B771" s="3" t="inlineStr">
        <is>
          <t>mix max Eksotik blue</t>
        </is>
      </c>
      <c r="C771" s="3" t="inlineStr">
        <is>
          <t>VODKA</t>
        </is>
      </c>
      <c r="D771" s="3" t="n">
        <v>18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18</v>
      </c>
    </row>
    <row r="772">
      <c r="A772" s="3">
        <f>"V18"</f>
        <v/>
      </c>
      <c r="B772" s="3" t="inlineStr">
        <is>
          <t>mix max Anggur merah</t>
        </is>
      </c>
      <c r="C772" s="3" t="inlineStr">
        <is>
          <t>VODKA</t>
        </is>
      </c>
      <c r="D772" s="3" t="n">
        <v>8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8</v>
      </c>
    </row>
    <row r="773">
      <c r="A773" s="3">
        <f>"V19"</f>
        <v/>
      </c>
      <c r="B773" s="3" t="inlineStr">
        <is>
          <t>Stanley Adams 620ml</t>
        </is>
      </c>
      <c r="C773" s="3" t="inlineStr">
        <is>
          <t>VODKA</t>
        </is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</row>
    <row r="774">
      <c r="A774" s="3">
        <f>"V20"</f>
        <v/>
      </c>
      <c r="B774" s="3" t="inlineStr">
        <is>
          <t>Stanley Adams 950ml</t>
        </is>
      </c>
      <c r="C774" s="3" t="inlineStr">
        <is>
          <t>VODKA</t>
        </is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</row>
    <row r="775">
      <c r="A775" s="3">
        <f>"V21"</f>
        <v/>
      </c>
      <c r="B775" s="3" t="inlineStr">
        <is>
          <t>Alpine Swift 750ml</t>
        </is>
      </c>
      <c r="C775" s="3" t="inlineStr">
        <is>
          <t>VODKA</t>
        </is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</row>
    <row r="776">
      <c r="A776" s="3">
        <f>"V22"</f>
        <v/>
      </c>
      <c r="B776" s="3" t="inlineStr">
        <is>
          <t>Black  White Vodka 300ml</t>
        </is>
      </c>
      <c r="C776" s="3" t="inlineStr">
        <is>
          <t>VODKA</t>
        </is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</row>
    <row r="777">
      <c r="A777" s="3">
        <f>"V23"</f>
        <v/>
      </c>
      <c r="B777" s="3" t="inlineStr">
        <is>
          <t>Black  White Vodka 500ml</t>
        </is>
      </c>
      <c r="C777" s="3" t="inlineStr">
        <is>
          <t>VODKA</t>
        </is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</row>
    <row r="778">
      <c r="A778" s="3">
        <f>"V24"</f>
        <v/>
      </c>
      <c r="B778" s="3" t="inlineStr">
        <is>
          <t>BlackWhite triple Sec 300ml</t>
        </is>
      </c>
      <c r="C778" s="3" t="inlineStr">
        <is>
          <t>VODKA</t>
        </is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</row>
    <row r="779">
      <c r="A779" s="3">
        <f>"V25"</f>
        <v/>
      </c>
      <c r="B779" s="3" t="inlineStr">
        <is>
          <t>Friend Ship 650ml</t>
        </is>
      </c>
      <c r="C779" s="3" t="inlineStr">
        <is>
          <t>VODKA</t>
        </is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24</v>
      </c>
    </row>
    <row r="780">
      <c r="A780" s="3">
        <f>"V26"</f>
        <v/>
      </c>
      <c r="B780" s="3" t="inlineStr">
        <is>
          <t>Maze Maze Vodka Original 700ml</t>
        </is>
      </c>
      <c r="C780" s="3" t="inlineStr">
        <is>
          <t>VODKA</t>
        </is>
      </c>
      <c r="D780" s="3" t="n">
        <v>3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3</v>
      </c>
    </row>
    <row r="781">
      <c r="A781" s="3">
        <f>"V27"</f>
        <v/>
      </c>
      <c r="B781" s="3" t="inlineStr">
        <is>
          <t>Friend Ship 700ml</t>
        </is>
      </c>
      <c r="C781" s="3" t="inlineStr">
        <is>
          <t>VODKA</t>
        </is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</row>
    <row r="782">
      <c r="A782" s="3">
        <f>"V28"</f>
        <v/>
      </c>
      <c r="B782" s="3" t="inlineStr">
        <is>
          <t>Fashion Vodka 700ml</t>
        </is>
      </c>
      <c r="C782" s="3" t="inlineStr">
        <is>
          <t>VODKA</t>
        </is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</row>
    <row r="783">
      <c r="A783" s="3">
        <f>"V29"</f>
        <v/>
      </c>
      <c r="B783" s="3" t="inlineStr">
        <is>
          <t>Seagrams Vodka 750ml</t>
        </is>
      </c>
      <c r="C783" s="3" t="inlineStr">
        <is>
          <t>VODKA</t>
        </is>
      </c>
      <c r="D783" s="3" t="n">
        <v>1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1</v>
      </c>
    </row>
    <row r="784">
      <c r="A784" s="3">
        <f>"V30"</f>
        <v/>
      </c>
      <c r="B784" s="3" t="inlineStr">
        <is>
          <t>glassberg vodka</t>
        </is>
      </c>
      <c r="C784" s="3" t="inlineStr">
        <is>
          <t>VODKA</t>
        </is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</row>
    <row r="785">
      <c r="A785" s="3">
        <f>"V31"</f>
        <v/>
      </c>
      <c r="B785" s="3" t="inlineStr">
        <is>
          <t>Iceland Mix Long Island 275ml</t>
        </is>
      </c>
      <c r="C785" s="3" t="inlineStr">
        <is>
          <t>VODKA</t>
        </is>
      </c>
      <c r="D785" s="3" t="n">
        <v>4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28</v>
      </c>
    </row>
    <row r="786">
      <c r="A786" s="3">
        <f>"V32"</f>
        <v/>
      </c>
      <c r="B786" s="3" t="inlineStr">
        <is>
          <t>Iceland Mix Lychee Martini 275ml</t>
        </is>
      </c>
      <c r="C786" s="3" t="inlineStr">
        <is>
          <t>VODKA</t>
        </is>
      </c>
      <c r="D786" s="3" t="n">
        <v>21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21</v>
      </c>
    </row>
    <row r="787">
      <c r="A787" s="3">
        <f>"V33"</f>
        <v/>
      </c>
      <c r="B787" s="3" t="inlineStr">
        <is>
          <t>Royal Brewhouse Vodka</t>
        </is>
      </c>
      <c r="C787" s="3" t="inlineStr">
        <is>
          <t>VODKA</t>
        </is>
      </c>
      <c r="D787" s="3" t="n">
        <v>1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1</v>
      </c>
    </row>
    <row r="788">
      <c r="A788" s="3">
        <f>"V34"</f>
        <v/>
      </c>
      <c r="B788" s="3" t="inlineStr">
        <is>
          <t>Skyy Vodka</t>
        </is>
      </c>
      <c r="C788" s="3" t="inlineStr">
        <is>
          <t>VODKA</t>
        </is>
      </c>
      <c r="D788" s="3" t="n">
        <v>6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6</v>
      </c>
    </row>
    <row r="789">
      <c r="A789" s="3">
        <f>"V35"</f>
        <v/>
      </c>
      <c r="B789" s="3" t="inlineStr">
        <is>
          <t>Smirnoff Vodka Original 700ml</t>
        </is>
      </c>
      <c r="C789" s="3" t="inlineStr">
        <is>
          <t>VODKA</t>
        </is>
      </c>
      <c r="D789" s="3" t="n">
        <v>3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3</v>
      </c>
    </row>
    <row r="790">
      <c r="A790" s="3">
        <f>"V36"</f>
        <v/>
      </c>
      <c r="B790" s="3" t="inlineStr">
        <is>
          <t>Alva Iceberg 700ml</t>
        </is>
      </c>
      <c r="C790" s="3" t="inlineStr">
        <is>
          <t>VODKA</t>
        </is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</row>
    <row r="791">
      <c r="A791" s="3">
        <f>"V37"</f>
        <v/>
      </c>
      <c r="B791" s="3" t="inlineStr">
        <is>
          <t>Alva Cucumber 700ml</t>
        </is>
      </c>
      <c r="C791" s="3" t="inlineStr">
        <is>
          <t>VODKA</t>
        </is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</row>
    <row r="792">
      <c r="A792" s="3">
        <f>"V38"</f>
        <v/>
      </c>
      <c r="B792" s="3" t="inlineStr">
        <is>
          <t>Iceland Citrus 250ml</t>
        </is>
      </c>
      <c r="C792" s="3" t="inlineStr">
        <is>
          <t>VODKA</t>
        </is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</row>
    <row r="793">
      <c r="A793" s="3">
        <f>"V39"</f>
        <v/>
      </c>
      <c r="B793" s="3" t="inlineStr">
        <is>
          <t>Iceland Citrus 350ml</t>
        </is>
      </c>
      <c r="C793" s="3" t="inlineStr">
        <is>
          <t>VODKA</t>
        </is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</row>
    <row r="794">
      <c r="A794" s="3">
        <f>"V40"</f>
        <v/>
      </c>
      <c r="B794" s="3" t="inlineStr">
        <is>
          <t>Iceland Citrus 500ml</t>
        </is>
      </c>
      <c r="C794" s="3" t="inlineStr">
        <is>
          <t>VODKA</t>
        </is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</row>
    <row r="795">
      <c r="A795" s="3">
        <f>"V41"</f>
        <v/>
      </c>
      <c r="B795" s="3" t="inlineStr">
        <is>
          <t>Iceland Orange 250ml</t>
        </is>
      </c>
      <c r="C795" s="3" t="inlineStr">
        <is>
          <t>VODKA</t>
        </is>
      </c>
      <c r="D795" s="3" t="n">
        <v>3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3</v>
      </c>
    </row>
    <row r="796">
      <c r="A796" s="3">
        <f>"V42"</f>
        <v/>
      </c>
      <c r="B796" s="3" t="inlineStr">
        <is>
          <t>Iceland Orange 350ml</t>
        </is>
      </c>
      <c r="C796" s="3" t="inlineStr">
        <is>
          <t>VODKA</t>
        </is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</row>
    <row r="797">
      <c r="A797" s="3">
        <f>"V43"</f>
        <v/>
      </c>
      <c r="B797" s="3" t="inlineStr">
        <is>
          <t>Iceland Orange 500ml</t>
        </is>
      </c>
      <c r="C797" s="3" t="inlineStr">
        <is>
          <t>VODKA</t>
        </is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</row>
    <row r="798">
      <c r="A798" s="3">
        <f>"V44"</f>
        <v/>
      </c>
      <c r="B798" s="3" t="inlineStr">
        <is>
          <t>Iceland lychee 250ml</t>
        </is>
      </c>
      <c r="C798" s="3" t="inlineStr">
        <is>
          <t>VODKA</t>
        </is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</row>
    <row r="799">
      <c r="A799" s="3">
        <f>"V45"</f>
        <v/>
      </c>
      <c r="B799" s="3" t="inlineStr">
        <is>
          <t>Iceland lychee 350ml</t>
        </is>
      </c>
      <c r="C799" s="3" t="inlineStr">
        <is>
          <t>VODKA</t>
        </is>
      </c>
      <c r="D799" s="3" t="n">
        <v>4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4</v>
      </c>
    </row>
    <row r="800">
      <c r="A800" s="3">
        <f>"V46"</f>
        <v/>
      </c>
      <c r="B800" s="3" t="inlineStr">
        <is>
          <t>Iceland lychee 500ml</t>
        </is>
      </c>
      <c r="C800" s="3" t="inlineStr">
        <is>
          <t>VODKA</t>
        </is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</row>
    <row r="801">
      <c r="A801" s="3">
        <f>"V47"</f>
        <v/>
      </c>
      <c r="B801" s="3" t="inlineStr">
        <is>
          <t>Iceland lychee 700ml</t>
        </is>
      </c>
      <c r="C801" s="3" t="inlineStr">
        <is>
          <t>VODKA</t>
        </is>
      </c>
      <c r="D801" s="3" t="n">
        <v>10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10</v>
      </c>
    </row>
    <row r="802">
      <c r="A802" s="3">
        <f>"V48"</f>
        <v/>
      </c>
      <c r="B802" s="3" t="inlineStr">
        <is>
          <t>Iceland Black Tea 250ml</t>
        </is>
      </c>
      <c r="C802" s="3" t="inlineStr">
        <is>
          <t>VODKA</t>
        </is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</row>
    <row r="803">
      <c r="A803" s="3">
        <f>"V49"</f>
        <v/>
      </c>
      <c r="B803" s="3" t="inlineStr">
        <is>
          <t>Iceland Black Tea 350ml</t>
        </is>
      </c>
      <c r="C803" s="3" t="inlineStr">
        <is>
          <t>VODKA</t>
        </is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</row>
    <row r="804">
      <c r="A804" s="3">
        <f>"V50"</f>
        <v/>
      </c>
      <c r="B804" s="3" t="inlineStr">
        <is>
          <t>Iceland Black Tea 500ml</t>
        </is>
      </c>
      <c r="C804" s="3" t="inlineStr">
        <is>
          <t>VODKA</t>
        </is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</row>
    <row r="805">
      <c r="A805" s="3">
        <f>"V51"</f>
        <v/>
      </c>
      <c r="B805" s="3" t="inlineStr">
        <is>
          <t>Iceland Black Tea 700ml</t>
        </is>
      </c>
      <c r="C805" s="3" t="inlineStr">
        <is>
          <t>VODKA</t>
        </is>
      </c>
      <c r="D805" s="3" t="n">
        <v>11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11</v>
      </c>
    </row>
    <row r="806">
      <c r="A806" s="3">
        <f>"V52"</f>
        <v/>
      </c>
      <c r="B806" s="3" t="inlineStr">
        <is>
          <t>Iceland Mix Blue Lagoon 275ml</t>
        </is>
      </c>
      <c r="C806" s="3" t="inlineStr">
        <is>
          <t>VODKA</t>
        </is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</row>
    <row r="807">
      <c r="A807" s="3">
        <f>"V53"</f>
        <v/>
      </c>
      <c r="B807" s="3" t="inlineStr">
        <is>
          <t>Iceland Mix Kamikaze 275ml</t>
        </is>
      </c>
      <c r="C807" s="3" t="inlineStr">
        <is>
          <t>VODKA</t>
        </is>
      </c>
      <c r="D807" s="3" t="n">
        <v>10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10</v>
      </c>
    </row>
    <row r="808">
      <c r="A808" s="3">
        <f>"V54"</f>
        <v/>
      </c>
      <c r="B808" s="3" t="inlineStr">
        <is>
          <t>Iceland Mix Espresso 275ml</t>
        </is>
      </c>
      <c r="C808" s="3" t="inlineStr">
        <is>
          <t>VODKA</t>
        </is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12</v>
      </c>
    </row>
    <row r="809">
      <c r="A809" s="3">
        <f>"V55"</f>
        <v/>
      </c>
      <c r="B809" s="3" t="inlineStr">
        <is>
          <t>Rockstar Coffee</t>
        </is>
      </c>
      <c r="C809" s="3" t="inlineStr">
        <is>
          <t>VODKA</t>
        </is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</row>
    <row r="810">
      <c r="A810" s="3">
        <f>"V56"</f>
        <v/>
      </c>
      <c r="B810" s="3" t="inlineStr">
        <is>
          <t>Rockstar Lychee</t>
        </is>
      </c>
      <c r="C810" s="3" t="inlineStr">
        <is>
          <t>VODKA</t>
        </is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</row>
    <row r="811">
      <c r="A811" s="3">
        <f>"V57"</f>
        <v/>
      </c>
      <c r="B811" s="3" t="inlineStr">
        <is>
          <t>Rockstar Original</t>
        </is>
      </c>
      <c r="C811" s="3" t="inlineStr">
        <is>
          <t>VODKA</t>
        </is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</row>
    <row r="812">
      <c r="A812" s="3">
        <f>"V58"</f>
        <v/>
      </c>
      <c r="B812" s="3" t="inlineStr">
        <is>
          <t>Rockstar Black Tea</t>
        </is>
      </c>
      <c r="C812" s="3" t="inlineStr">
        <is>
          <t>VODKA</t>
        </is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</row>
    <row r="813">
      <c r="A813" s="3">
        <f>"V59"</f>
        <v/>
      </c>
      <c r="B813" s="3" t="inlineStr">
        <is>
          <t>Rockstar Melon</t>
        </is>
      </c>
      <c r="C813" s="3" t="inlineStr">
        <is>
          <t>VODKA</t>
        </is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</row>
    <row r="814">
      <c r="A814" s="3">
        <f>"V60"</f>
        <v/>
      </c>
      <c r="B814" s="3" t="inlineStr">
        <is>
          <t>Rockstar Triple Sec</t>
        </is>
      </c>
      <c r="C814" s="3" t="inlineStr">
        <is>
          <t>VODKA</t>
        </is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</row>
    <row r="815">
      <c r="A815" s="3">
        <f>"V61"</f>
        <v/>
      </c>
      <c r="B815" s="3" t="inlineStr">
        <is>
          <t>Rockstar Blue Curacao</t>
        </is>
      </c>
      <c r="C815" s="3" t="inlineStr">
        <is>
          <t>VODKA</t>
        </is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</row>
    <row r="816">
      <c r="A816" s="3">
        <f>"V62"</f>
        <v/>
      </c>
      <c r="B816" s="3" t="inlineStr">
        <is>
          <t>Robinson Vodka 350ml</t>
        </is>
      </c>
      <c r="C816" s="3" t="inlineStr">
        <is>
          <t>VODKA</t>
        </is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</row>
    <row r="817">
      <c r="A817" s="3">
        <f>"V63"</f>
        <v/>
      </c>
      <c r="B817" s="3" t="inlineStr">
        <is>
          <t>Robinson Vodka 680ml</t>
        </is>
      </c>
      <c r="C817" s="3" t="inlineStr">
        <is>
          <t>VODKA</t>
        </is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</row>
    <row r="818">
      <c r="A818" s="3">
        <f>"V64"</f>
        <v/>
      </c>
      <c r="B818" s="3" t="inlineStr">
        <is>
          <t>Maze Maze Vodka Cranberry 700ml</t>
        </is>
      </c>
      <c r="C818" s="3" t="inlineStr">
        <is>
          <t>VODKA</t>
        </is>
      </c>
      <c r="D818" s="3" t="n">
        <v>3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3</v>
      </c>
    </row>
    <row r="819">
      <c r="A819" s="3">
        <f>"V65"</f>
        <v/>
      </c>
      <c r="B819" s="3" t="inlineStr">
        <is>
          <t>Robinson Quilla 350ml</t>
        </is>
      </c>
      <c r="C819" s="3" t="inlineStr">
        <is>
          <t>VODKA</t>
        </is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</row>
    <row r="820">
      <c r="A820" s="3">
        <f>"V66"</f>
        <v/>
      </c>
      <c r="B820" s="3" t="inlineStr">
        <is>
          <t>Robinson Quilla 680ml</t>
        </is>
      </c>
      <c r="C820" s="3" t="inlineStr">
        <is>
          <t>VODKA</t>
        </is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</row>
    <row r="821">
      <c r="A821" s="3">
        <f>"V67"</f>
        <v/>
      </c>
      <c r="B821" s="3" t="inlineStr">
        <is>
          <t>Maze Maze Vodka Blackcurrant 700ml</t>
        </is>
      </c>
      <c r="C821" s="3" t="inlineStr">
        <is>
          <t>VODKA</t>
        </is>
      </c>
      <c r="D821" s="3" t="n">
        <v>3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3</v>
      </c>
    </row>
    <row r="822">
      <c r="A822" s="3">
        <f>"V68"</f>
        <v/>
      </c>
      <c r="B822" s="3" t="inlineStr">
        <is>
          <t>Iceland Mix Berry Lemonade 275ml</t>
        </is>
      </c>
      <c r="C822" s="3" t="inlineStr">
        <is>
          <t>VODKA</t>
        </is>
      </c>
      <c r="D822" s="3" t="n">
        <v>10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10</v>
      </c>
    </row>
    <row r="823">
      <c r="A823" s="3">
        <f>"V69"</f>
        <v/>
      </c>
      <c r="B823" s="3" t="inlineStr">
        <is>
          <t>Smirnoff Green Apple 700ml</t>
        </is>
      </c>
      <c r="C823" s="3" t="inlineStr">
        <is>
          <t>VODKA</t>
        </is>
      </c>
      <c r="D823" s="3" t="n">
        <v>3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3</v>
      </c>
    </row>
    <row r="824">
      <c r="A824" s="3">
        <f>"V70"</f>
        <v/>
      </c>
      <c r="B824" s="3" t="inlineStr">
        <is>
          <t>Smirnoff Pink Lemonade 700ml</t>
        </is>
      </c>
      <c r="C824" s="3" t="inlineStr">
        <is>
          <t>VODKA</t>
        </is>
      </c>
      <c r="D824" s="3" t="n">
        <v>3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3</v>
      </c>
    </row>
    <row r="825">
      <c r="A825" s="3">
        <f>"V71"</f>
        <v/>
      </c>
      <c r="B825" s="3" t="inlineStr">
        <is>
          <t>MCDonald Vodka Mix 180ml</t>
        </is>
      </c>
      <c r="C825" s="3" t="inlineStr">
        <is>
          <t>VODKA</t>
        </is>
      </c>
      <c r="D825" s="3" t="n">
        <v>1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1</v>
      </c>
    </row>
    <row r="826">
      <c r="A826" s="3">
        <f>"V72"</f>
        <v/>
      </c>
      <c r="B826" s="3" t="inlineStr">
        <is>
          <t>MCDonald Vodka Mix 500ml</t>
        </is>
      </c>
      <c r="C826" s="3" t="inlineStr">
        <is>
          <t>VODKA</t>
        </is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</row>
    <row r="827">
      <c r="A827" s="3">
        <f>"V73"</f>
        <v/>
      </c>
      <c r="B827" s="3" t="inlineStr">
        <is>
          <t>MCDonald Vodka Mix 1Ltr</t>
        </is>
      </c>
      <c r="C827" s="3" t="inlineStr">
        <is>
          <t>VODKA</t>
        </is>
      </c>
      <c r="D827" s="3" t="n">
        <v>4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61</v>
      </c>
    </row>
    <row r="828">
      <c r="A828" s="3">
        <f>"V74"</f>
        <v/>
      </c>
      <c r="B828" s="3" t="inlineStr">
        <is>
          <t>MCDonald Vodka Orange 180ml</t>
        </is>
      </c>
      <c r="C828" s="3" t="inlineStr">
        <is>
          <t>VODKA</t>
        </is>
      </c>
      <c r="D828" s="3" t="n">
        <v>5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5</v>
      </c>
    </row>
    <row r="829">
      <c r="A829" s="3">
        <f>"V75"</f>
        <v/>
      </c>
      <c r="B829" s="3" t="inlineStr">
        <is>
          <t>MCDonald Vodka Original 180ml</t>
        </is>
      </c>
      <c r="C829" s="3" t="inlineStr">
        <is>
          <t>VODKA</t>
        </is>
      </c>
      <c r="D829" s="3" t="n">
        <v>23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23</v>
      </c>
    </row>
    <row r="830">
      <c r="A830" s="3">
        <f>"V76"</f>
        <v/>
      </c>
      <c r="B830" s="3" t="inlineStr">
        <is>
          <t>MCDonald Vodka Original 500ml</t>
        </is>
      </c>
      <c r="C830" s="3" t="inlineStr">
        <is>
          <t>VODKA</t>
        </is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12</v>
      </c>
    </row>
    <row r="831">
      <c r="A831" s="3">
        <f>"V77"</f>
        <v/>
      </c>
      <c r="B831" s="3" t="inlineStr">
        <is>
          <t>MCDonald Vodka Original 1Ltr</t>
        </is>
      </c>
      <c r="C831" s="3" t="inlineStr">
        <is>
          <t>VODKA</t>
        </is>
      </c>
      <c r="D831" s="3" t="n">
        <v>22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22</v>
      </c>
    </row>
    <row r="832">
      <c r="A832" s="3">
        <f>"V78"</f>
        <v/>
      </c>
      <c r="B832" s="3" t="inlineStr">
        <is>
          <t>Mansion House Vodka 350ml</t>
        </is>
      </c>
      <c r="C832" s="3" t="inlineStr">
        <is>
          <t>VODKA</t>
        </is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</row>
    <row r="833">
      <c r="A833" s="3">
        <f>"V79"</f>
        <v/>
      </c>
      <c r="B833" s="3" t="inlineStr">
        <is>
          <t>Rockstar Whisky</t>
        </is>
      </c>
      <c r="C833" s="3" t="inlineStr">
        <is>
          <t>VODKA</t>
        </is>
      </c>
      <c r="D833" s="3" t="n">
        <v>0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</row>
    <row r="834">
      <c r="A834" s="3">
        <f>"V80"</f>
        <v/>
      </c>
      <c r="B834" s="3" t="inlineStr">
        <is>
          <t>Rockstar Coconut</t>
        </is>
      </c>
      <c r="C834" s="3" t="inlineStr">
        <is>
          <t>VODKA</t>
        </is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</row>
    <row r="835">
      <c r="A835" s="3">
        <f>"V81"</f>
        <v/>
      </c>
      <c r="B835" s="3" t="inlineStr">
        <is>
          <t>Smirnoff Vodka Original 200ml</t>
        </is>
      </c>
      <c r="C835" s="3" t="inlineStr">
        <is>
          <t>VODKA</t>
        </is>
      </c>
      <c r="D835" s="3" t="n">
        <v>12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12</v>
      </c>
    </row>
    <row r="836">
      <c r="A836" s="3">
        <f>"V82"</f>
        <v/>
      </c>
      <c r="B836" s="3" t="inlineStr">
        <is>
          <t>Smirnoff Vodka Original 375ml</t>
        </is>
      </c>
      <c r="C836" s="3" t="inlineStr">
        <is>
          <t>VODKA</t>
        </is>
      </c>
      <c r="D836" s="3" t="n">
        <v>6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6</v>
      </c>
    </row>
    <row r="837">
      <c r="A837" s="3">
        <f>"V83"</f>
        <v/>
      </c>
      <c r="B837" s="3" t="inlineStr">
        <is>
          <t>Magnus Bluestraw</t>
        </is>
      </c>
      <c r="C837" s="3" t="inlineStr">
        <is>
          <t>VODKA</t>
        </is>
      </c>
      <c r="D837" s="3" t="n">
        <v>0</v>
      </c>
      <c r="E837" s="3" t="n">
        <v>0</v>
      </c>
      <c r="F837" s="3" t="n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</row>
    <row r="838">
      <c r="A838" s="3">
        <f>"V84"</f>
        <v/>
      </c>
      <c r="B838" s="3" t="inlineStr">
        <is>
          <t>Magnus Peachee</t>
        </is>
      </c>
      <c r="C838" s="3" t="inlineStr">
        <is>
          <t>VODKA</t>
        </is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</row>
    <row r="839">
      <c r="A839" s="3">
        <f>"V85"</f>
        <v/>
      </c>
      <c r="B839" s="3" t="inlineStr">
        <is>
          <t>Black White Vodka 700ml</t>
        </is>
      </c>
      <c r="C839" s="3" t="inlineStr">
        <is>
          <t>VODKA</t>
        </is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</row>
    <row r="840">
      <c r="A840" s="3">
        <f>"V86"</f>
        <v/>
      </c>
      <c r="B840" s="3" t="inlineStr">
        <is>
          <t>Friend Ship Black Tea 650ml</t>
        </is>
      </c>
      <c r="C840" s="3" t="inlineStr">
        <is>
          <t>VODKA</t>
        </is>
      </c>
      <c r="D840" s="3" t="n">
        <v>9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128</v>
      </c>
    </row>
    <row r="841">
      <c r="A841" s="3">
        <f>"V87"</f>
        <v/>
      </c>
      <c r="B841" s="3" t="inlineStr">
        <is>
          <t>F Vodka 750ml</t>
        </is>
      </c>
      <c r="C841" s="3" t="inlineStr">
        <is>
          <t>VODKA</t>
        </is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</row>
    <row r="842">
      <c r="A842" s="3">
        <f>"V88"</f>
        <v/>
      </c>
      <c r="B842" s="3" t="inlineStr">
        <is>
          <t>Paloma 1ltr</t>
        </is>
      </c>
      <c r="C842" s="3" t="inlineStr">
        <is>
          <t>VODKA</t>
        </is>
      </c>
      <c r="D842" s="3" t="n">
        <v>9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8</v>
      </c>
    </row>
    <row r="843">
      <c r="A843" s="3">
        <f>"V89"</f>
        <v/>
      </c>
      <c r="B843" s="3" t="inlineStr">
        <is>
          <t>Friend Ship Blacktea 180ml</t>
        </is>
      </c>
      <c r="C843" s="3" t="inlineStr">
        <is>
          <t>VODKA</t>
        </is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</row>
    <row r="844">
      <c r="A844" s="3">
        <f>"V90"</f>
        <v/>
      </c>
      <c r="B844" s="3" t="inlineStr">
        <is>
          <t>Siren Vodka Lychee</t>
        </is>
      </c>
      <c r="C844" s="3" t="inlineStr">
        <is>
          <t>VODKA</t>
        </is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</row>
    <row r="845">
      <c r="A845" s="3">
        <f>"V91"</f>
        <v/>
      </c>
      <c r="B845" s="3" t="inlineStr">
        <is>
          <t>Siren Vodka Black Tea</t>
        </is>
      </c>
      <c r="C845" s="3" t="inlineStr">
        <is>
          <t>VODKA</t>
        </is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</row>
    <row r="846">
      <c r="A846" s="3">
        <f>"V92"</f>
        <v/>
      </c>
      <c r="B846" s="3" t="inlineStr">
        <is>
          <t>Magnus Balon</t>
        </is>
      </c>
      <c r="C846" s="3" t="inlineStr">
        <is>
          <t>VODKA</t>
        </is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</row>
    <row r="847">
      <c r="A847" s="3">
        <f>"V93"</f>
        <v/>
      </c>
      <c r="B847" s="3" t="inlineStr">
        <is>
          <t>Smirnoff Ice Raspberry 275ml</t>
        </is>
      </c>
      <c r="C847" s="3" t="inlineStr">
        <is>
          <t>VODKA</t>
        </is>
      </c>
      <c r="D847" s="3" t="n">
        <v>24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24</v>
      </c>
    </row>
    <row r="848">
      <c r="A848" s="3">
        <f>"V94"</f>
        <v/>
      </c>
      <c r="B848" s="3" t="inlineStr">
        <is>
          <t>Smirnoff Ice Vodka Ori 275ml</t>
        </is>
      </c>
      <c r="C848" s="3" t="inlineStr">
        <is>
          <t>VODKA</t>
        </is>
      </c>
      <c r="D848" s="3" t="n">
        <v>24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24</v>
      </c>
    </row>
    <row r="849">
      <c r="A849" s="3">
        <f>"V95"</f>
        <v/>
      </c>
      <c r="B849" s="3" t="inlineStr">
        <is>
          <t>Smirnoff Ice Green Apple 275ml</t>
        </is>
      </c>
      <c r="C849" s="3" t="inlineStr">
        <is>
          <t>VODKA</t>
        </is>
      </c>
      <c r="D849" s="3" t="n">
        <v>24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24</v>
      </c>
    </row>
    <row r="850">
      <c r="A850" s="3">
        <f>"V96"</f>
        <v/>
      </c>
      <c r="B850" s="3" t="inlineStr">
        <is>
          <t>Smirnoff Ice Pink 275ml</t>
        </is>
      </c>
      <c r="C850" s="3" t="inlineStr">
        <is>
          <t>VODKA</t>
        </is>
      </c>
      <c r="D850" s="3" t="n">
        <v>24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24</v>
      </c>
    </row>
    <row r="851">
      <c r="A851" s="3">
        <f>"V97"</f>
        <v/>
      </c>
      <c r="B851" s="3" t="inlineStr">
        <is>
          <t>Gilbeys Vodka 350ml</t>
        </is>
      </c>
      <c r="C851" s="3" t="inlineStr">
        <is>
          <t>VODKA</t>
        </is>
      </c>
      <c r="D851" s="3" t="n">
        <v>6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6</v>
      </c>
    </row>
    <row r="852">
      <c r="A852" s="3">
        <f>"V98"</f>
        <v/>
      </c>
      <c r="B852" s="3" t="inlineStr">
        <is>
          <t>Gilbeys Vodka 700ml</t>
        </is>
      </c>
      <c r="C852" s="3" t="inlineStr">
        <is>
          <t>VODKA</t>
        </is>
      </c>
      <c r="D852" s="3" t="n">
        <v>6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6</v>
      </c>
    </row>
    <row r="853">
      <c r="A853" s="3">
        <f>"V99"</f>
        <v/>
      </c>
      <c r="B853" s="3" t="inlineStr">
        <is>
          <t>Vodka 9 700ml</t>
        </is>
      </c>
      <c r="C853" s="3" t="inlineStr">
        <is>
          <t>VODKA</t>
        </is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</row>
    <row r="854">
      <c r="A854" s="3">
        <f>"VP 001"</f>
        <v/>
      </c>
      <c r="B854" s="3" t="inlineStr">
        <is>
          <t>Vape R B Blueberry</t>
        </is>
      </c>
      <c r="C854" s="3" t="inlineStr">
        <is>
          <t>Vape</t>
        </is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</row>
    <row r="855">
      <c r="A855" s="3">
        <f>"VP 002"</f>
        <v/>
      </c>
      <c r="B855" s="3" t="inlineStr">
        <is>
          <t>Vape R B Cola</t>
        </is>
      </c>
      <c r="C855" s="3" t="inlineStr">
        <is>
          <t>Vape</t>
        </is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</row>
    <row r="856">
      <c r="A856" s="3">
        <f>"VP 003"</f>
        <v/>
      </c>
      <c r="B856" s="3" t="inlineStr">
        <is>
          <t>Vape R B grape</t>
        </is>
      </c>
      <c r="C856" s="3" t="inlineStr">
        <is>
          <t>Vape</t>
        </is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</row>
    <row r="857">
      <c r="A857" s="3">
        <f>"VP 004"</f>
        <v/>
      </c>
      <c r="B857" s="3" t="inlineStr">
        <is>
          <t>Vape R B Iced Tea</t>
        </is>
      </c>
      <c r="C857" s="3" t="inlineStr">
        <is>
          <t>Vape</t>
        </is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</row>
    <row r="858">
      <c r="A858" s="3">
        <f>"VP 005"</f>
        <v/>
      </c>
      <c r="B858" s="3" t="inlineStr">
        <is>
          <t>Vape R B Lemon</t>
        </is>
      </c>
      <c r="C858" s="3" t="inlineStr">
        <is>
          <t>Vape</t>
        </is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</row>
    <row r="859">
      <c r="A859" s="3">
        <f>"VP 006"</f>
        <v/>
      </c>
      <c r="B859" s="3" t="inlineStr">
        <is>
          <t>Vape R B Watermelon</t>
        </is>
      </c>
      <c r="C859" s="3" t="inlineStr">
        <is>
          <t>Vape</t>
        </is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</row>
    <row r="860">
      <c r="A860" s="3">
        <f>"WINE01"</f>
        <v/>
      </c>
      <c r="B860" s="3" t="inlineStr">
        <is>
          <t>SVAA Black Rice</t>
        </is>
      </c>
      <c r="C860" s="3" t="inlineStr">
        <is>
          <t>WINE</t>
        </is>
      </c>
      <c r="D860" s="3" t="n">
        <v>1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1</v>
      </c>
    </row>
    <row r="861">
      <c r="A861" s="3">
        <f>"WINE02"</f>
        <v/>
      </c>
      <c r="B861" s="3" t="inlineStr">
        <is>
          <t>SVAA Tawny</t>
        </is>
      </c>
      <c r="C861" s="3" t="inlineStr">
        <is>
          <t>WINE</t>
        </is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</row>
    <row r="862">
      <c r="A862" s="3">
        <f>"WINE03"</f>
        <v/>
      </c>
      <c r="B862" s="3" t="inlineStr">
        <is>
          <t>Wine RB Finca San Clemente</t>
        </is>
      </c>
      <c r="C862" s="3" t="inlineStr">
        <is>
          <t>WINE</t>
        </is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</row>
    <row r="863">
      <c r="A863" s="3">
        <f>"WINE04"</f>
        <v/>
      </c>
      <c r="B863" s="3" t="inlineStr">
        <is>
          <t>Wine RB Finca Roberto Syah</t>
        </is>
      </c>
      <c r="C863" s="3" t="inlineStr">
        <is>
          <t>WINE</t>
        </is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</row>
    <row r="864">
      <c r="A864" s="3">
        <f>"WINE05"</f>
        <v/>
      </c>
      <c r="B864" s="3" t="inlineStr">
        <is>
          <t>Wine RB Vina Royal</t>
        </is>
      </c>
      <c r="C864" s="3" t="inlineStr">
        <is>
          <t>WINE</t>
        </is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</row>
    <row r="865">
      <c r="A865" s="3">
        <f>"WINE06"</f>
        <v/>
      </c>
      <c r="B865" s="3" t="inlineStr">
        <is>
          <t>Sababay Black Velvet</t>
        </is>
      </c>
      <c r="C865" s="3" t="inlineStr">
        <is>
          <t>WINE</t>
        </is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</row>
    <row r="866">
      <c r="A866" s="3">
        <f>"WINE07"</f>
        <v/>
      </c>
      <c r="B866" s="3" t="inlineStr">
        <is>
          <t>Sababay White Velvet</t>
        </is>
      </c>
      <c r="C866" s="3" t="inlineStr">
        <is>
          <t>WINE</t>
        </is>
      </c>
      <c r="D866" s="3" t="n">
        <v>1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1</v>
      </c>
    </row>
    <row r="867">
      <c r="A867" s="3">
        <f>"WINE08"</f>
        <v/>
      </c>
      <c r="B867" s="3" t="inlineStr">
        <is>
          <t>Sababay Reserve White</t>
        </is>
      </c>
      <c r="C867" s="3" t="inlineStr">
        <is>
          <t>WINE</t>
        </is>
      </c>
      <c r="D867" s="3" t="n">
        <v>1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1</v>
      </c>
    </row>
    <row r="868">
      <c r="A868" s="3">
        <f>"WINE09"</f>
        <v/>
      </c>
      <c r="B868" s="3" t="inlineStr">
        <is>
          <t>Sababay Reserve Red</t>
        </is>
      </c>
      <c r="C868" s="3" t="inlineStr">
        <is>
          <t>WINE</t>
        </is>
      </c>
      <c r="D868" s="3" t="n">
        <v>1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1</v>
      </c>
    </row>
    <row r="869">
      <c r="A869" s="3">
        <f>"WINE10"</f>
        <v/>
      </c>
      <c r="B869" s="3" t="inlineStr">
        <is>
          <t>Sababay Pink Blossom</t>
        </is>
      </c>
      <c r="C869" s="3" t="inlineStr">
        <is>
          <t>WINE</t>
        </is>
      </c>
      <c r="D869" s="3" t="n">
        <v>1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1</v>
      </c>
    </row>
    <row r="870">
      <c r="A870" s="3">
        <f>"WINE11"</f>
        <v/>
      </c>
      <c r="B870" s="3" t="inlineStr">
        <is>
          <t>Sababay Ludisia 750ml</t>
        </is>
      </c>
      <c r="C870" s="3" t="inlineStr">
        <is>
          <t>WINE</t>
        </is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</row>
    <row r="871">
      <c r="A871" s="3">
        <f>"WINE12"</f>
        <v/>
      </c>
      <c r="B871" s="3" t="inlineStr">
        <is>
          <t>Sababay Magnolia</t>
        </is>
      </c>
      <c r="C871" s="3" t="inlineStr">
        <is>
          <t>WINE</t>
        </is>
      </c>
      <c r="D871" s="3" t="n">
        <v>1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1</v>
      </c>
    </row>
    <row r="872">
      <c r="A872" s="3">
        <f>"WINE13"</f>
        <v/>
      </c>
      <c r="B872" s="3" t="inlineStr">
        <is>
          <t>Sababay Mistelle</t>
        </is>
      </c>
      <c r="C872" s="3" t="inlineStr">
        <is>
          <t>WINE</t>
        </is>
      </c>
      <c r="D872" s="3" t="n">
        <v>1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1</v>
      </c>
    </row>
    <row r="873">
      <c r="A873" s="3">
        <f>"WINE14"</f>
        <v/>
      </c>
      <c r="B873" s="3" t="inlineStr">
        <is>
          <t>Sababay Mascetti</t>
        </is>
      </c>
      <c r="C873" s="3" t="inlineStr">
        <is>
          <t>WINE</t>
        </is>
      </c>
      <c r="D873" s="3" t="n">
        <v>1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1</v>
      </c>
    </row>
    <row r="874">
      <c r="A874" s="3">
        <f>"WINE15"</f>
        <v/>
      </c>
      <c r="B874" s="3" t="inlineStr">
        <is>
          <t>Sababay Moscato</t>
        </is>
      </c>
      <c r="C874" s="3" t="inlineStr">
        <is>
          <t>WINE</t>
        </is>
      </c>
      <c r="D874" s="3" t="n">
        <v>1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1</v>
      </c>
    </row>
    <row r="875">
      <c r="A875" s="3">
        <f>"WINE16"</f>
        <v/>
      </c>
      <c r="B875" s="3" t="inlineStr">
        <is>
          <t>Sababay Ascaro</t>
        </is>
      </c>
      <c r="C875" s="3" t="inlineStr">
        <is>
          <t>WINE</t>
        </is>
      </c>
      <c r="D875" s="3" t="n">
        <v>1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1</v>
      </c>
    </row>
    <row r="876">
      <c r="A876" s="3">
        <f>"WINE17"</f>
        <v/>
      </c>
      <c r="B876" s="3" t="inlineStr">
        <is>
          <t>Sababay Lambrusco</t>
        </is>
      </c>
      <c r="C876" s="3" t="inlineStr">
        <is>
          <t>WINE</t>
        </is>
      </c>
      <c r="D876" s="3" t="n">
        <v>1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1</v>
      </c>
    </row>
    <row r="877">
      <c r="A877" s="3">
        <f>"WINE18"</f>
        <v/>
      </c>
      <c r="B877" s="3" t="inlineStr">
        <is>
          <t>Sababay Moscarosa</t>
        </is>
      </c>
      <c r="C877" s="3" t="inlineStr">
        <is>
          <t>WINE</t>
        </is>
      </c>
      <c r="D877" s="3" t="n">
        <v>1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1</v>
      </c>
    </row>
    <row r="878">
      <c r="A878" s="3">
        <f>"WINE19"</f>
        <v/>
      </c>
      <c r="B878" s="3" t="inlineStr">
        <is>
          <t>Sababay Fiorosa</t>
        </is>
      </c>
      <c r="C878" s="3" t="inlineStr">
        <is>
          <t>WINE</t>
        </is>
      </c>
      <c r="D878" s="3" t="n">
        <v>1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1</v>
      </c>
    </row>
    <row r="879">
      <c r="A879" s="3">
        <f>"WINE20"</f>
        <v/>
      </c>
      <c r="B879" s="3" t="inlineStr">
        <is>
          <t>Baliwein Salak</t>
        </is>
      </c>
      <c r="C879" s="3" t="inlineStr">
        <is>
          <t>WINE</t>
        </is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</row>
    <row r="880">
      <c r="A880" s="3">
        <f>"WINE21"</f>
        <v/>
      </c>
      <c r="B880" s="3" t="inlineStr">
        <is>
          <t>Baliwein Jambu Mete</t>
        </is>
      </c>
      <c r="C880" s="3" t="inlineStr">
        <is>
          <t>WINE</t>
        </is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</row>
    <row r="881">
      <c r="A881" s="3">
        <f>"WINE22"</f>
        <v/>
      </c>
      <c r="B881" s="3" t="inlineStr">
        <is>
          <t>A MO Love Potion 375ml</t>
        </is>
      </c>
      <c r="C881" s="3" t="inlineStr">
        <is>
          <t>WINE</t>
        </is>
      </c>
      <c r="D881" s="3" t="n">
        <v>2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2</v>
      </c>
    </row>
    <row r="882">
      <c r="A882" s="3">
        <f>"WINE23"</f>
        <v/>
      </c>
      <c r="B882" s="3" t="inlineStr">
        <is>
          <t>A MO Love Potion 750ml</t>
        </is>
      </c>
      <c r="C882" s="3" t="inlineStr">
        <is>
          <t>WINE</t>
        </is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</row>
    <row r="883">
      <c r="A883" s="3">
        <f>"WINE24"</f>
        <v/>
      </c>
      <c r="B883" s="3" t="inlineStr">
        <is>
          <t>Sababay White Sangria</t>
        </is>
      </c>
      <c r="C883" s="3" t="inlineStr">
        <is>
          <t>WINE</t>
        </is>
      </c>
      <c r="D883" s="3" t="n">
        <v>1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1</v>
      </c>
    </row>
    <row r="884">
      <c r="A884" s="3">
        <f>"WINE25"</f>
        <v/>
      </c>
      <c r="B884" s="3" t="inlineStr">
        <is>
          <t>Sababay Red Sangria</t>
        </is>
      </c>
      <c r="C884" s="3" t="inlineStr">
        <is>
          <t>WINE</t>
        </is>
      </c>
      <c r="D884" s="3" t="n">
        <v>1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1</v>
      </c>
    </row>
    <row r="885">
      <c r="A885" s="3">
        <f>"WINE26"</f>
        <v/>
      </c>
      <c r="B885" s="3" t="inlineStr">
        <is>
          <t>Sababay Rose Sangria</t>
        </is>
      </c>
      <c r="C885" s="3" t="inlineStr">
        <is>
          <t>WINE</t>
        </is>
      </c>
      <c r="D885" s="3" t="n">
        <v>1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1</v>
      </c>
    </row>
    <row r="886">
      <c r="A886" s="3">
        <f>"WINE27"</f>
        <v/>
      </c>
      <c r="B886" s="3" t="inlineStr">
        <is>
          <t>Sababay Ludisia 500ml</t>
        </is>
      </c>
      <c r="C886" s="3" t="inlineStr">
        <is>
          <t>WINE</t>
        </is>
      </c>
      <c r="D886" s="3" t="n">
        <v>1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1</v>
      </c>
    </row>
    <row r="887">
      <c r="A887" s="3">
        <f>"WKY01"</f>
        <v/>
      </c>
      <c r="B887" s="3" t="inlineStr">
        <is>
          <t>Drum Black Label 250ml</t>
        </is>
      </c>
      <c r="C887" s="3" t="inlineStr">
        <is>
          <t>WHISKEY</t>
        </is>
      </c>
      <c r="D887" s="3" t="n">
        <v>10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10</v>
      </c>
    </row>
    <row r="888">
      <c r="A888" s="3">
        <f>"WKY02"</f>
        <v/>
      </c>
      <c r="B888" s="3" t="inlineStr">
        <is>
          <t>Drum Black Label 350ml</t>
        </is>
      </c>
      <c r="C888" s="3" t="inlineStr">
        <is>
          <t>WHISKEY</t>
        </is>
      </c>
      <c r="D888" s="3" t="n">
        <v>11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11</v>
      </c>
    </row>
    <row r="889">
      <c r="A889" s="3">
        <f>"WKY03"</f>
        <v/>
      </c>
      <c r="B889" s="3" t="inlineStr">
        <is>
          <t>Drum Black Label 700ml</t>
        </is>
      </c>
      <c r="C889" s="3" t="inlineStr">
        <is>
          <t>WHISKEY</t>
        </is>
      </c>
      <c r="D889" s="3" t="n">
        <v>5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17</v>
      </c>
    </row>
    <row r="890">
      <c r="A890" s="3">
        <f>"WKY04"</f>
        <v/>
      </c>
      <c r="B890" s="3" t="inlineStr">
        <is>
          <t>Drum Red Label 250ml</t>
        </is>
      </c>
      <c r="C890" s="3" t="inlineStr">
        <is>
          <t>WHISKEY</t>
        </is>
      </c>
      <c r="D890" s="3" t="n">
        <v>12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12</v>
      </c>
    </row>
    <row r="891">
      <c r="A891" s="3">
        <f>"WKY05"</f>
        <v/>
      </c>
      <c r="B891" s="3" t="inlineStr">
        <is>
          <t>Drum Red Label 350ml</t>
        </is>
      </c>
      <c r="C891" s="3" t="inlineStr">
        <is>
          <t>WHISKEY</t>
        </is>
      </c>
      <c r="D891" s="3" t="n">
        <v>12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12</v>
      </c>
    </row>
    <row r="892">
      <c r="A892" s="3">
        <f>"WKY06"</f>
        <v/>
      </c>
      <c r="B892" s="3" t="inlineStr">
        <is>
          <t>Drum Red Label 700ml</t>
        </is>
      </c>
      <c r="C892" s="3" t="inlineStr">
        <is>
          <t>WHISKEY</t>
        </is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12</v>
      </c>
    </row>
    <row r="893">
      <c r="A893" s="3">
        <f>"WKY07"</f>
        <v/>
      </c>
      <c r="B893" s="3" t="inlineStr">
        <is>
          <t>Drum Green label 700ml</t>
        </is>
      </c>
      <c r="C893" s="3" t="inlineStr">
        <is>
          <t>WHISKEY</t>
        </is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</row>
    <row r="894">
      <c r="A894" s="3">
        <f>"WKY08"</f>
        <v/>
      </c>
      <c r="B894" s="3" t="inlineStr">
        <is>
          <t>Batavia 700ml</t>
        </is>
      </c>
      <c r="C894" s="3" t="inlineStr">
        <is>
          <t>WHISKEY</t>
        </is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</row>
    <row r="895">
      <c r="A895" s="3">
        <f>"WKY09"</f>
        <v/>
      </c>
      <c r="B895" s="3" t="inlineStr">
        <is>
          <t>Asoka Whisky</t>
        </is>
      </c>
      <c r="C895" s="3" t="inlineStr">
        <is>
          <t>WHISKEY</t>
        </is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</row>
    <row r="896">
      <c r="A896" s="3">
        <f>"WKY10"</f>
        <v/>
      </c>
      <c r="B896" s="3" t="inlineStr">
        <is>
          <t>Red Horse 350ml</t>
        </is>
      </c>
      <c r="C896" s="3" t="inlineStr">
        <is>
          <t>WHISKEY</t>
        </is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</row>
    <row r="897">
      <c r="A897" s="3">
        <f>"WKY11"</f>
        <v/>
      </c>
      <c r="B897" s="3" t="inlineStr">
        <is>
          <t>Red Horse whisky 500ml</t>
        </is>
      </c>
      <c r="C897" s="3" t="inlineStr">
        <is>
          <t>WHISKEY</t>
        </is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</row>
    <row r="898">
      <c r="A898" s="3">
        <f>"WKY12"</f>
        <v/>
      </c>
      <c r="B898" s="3" t="inlineStr">
        <is>
          <t>R B Whisky Gold 750ml</t>
        </is>
      </c>
      <c r="C898" s="3" t="inlineStr">
        <is>
          <t>WHISKEY</t>
        </is>
      </c>
      <c r="D898" s="3" t="n">
        <v>1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1</v>
      </c>
    </row>
    <row r="899">
      <c r="A899" s="3">
        <f>"WKY13"</f>
        <v/>
      </c>
      <c r="B899" s="3" t="inlineStr">
        <is>
          <t>R B Whisky Black 750ml</t>
        </is>
      </c>
      <c r="C899" s="3" t="inlineStr">
        <is>
          <t>WHISKEY</t>
        </is>
      </c>
      <c r="D899" s="3" t="n">
        <v>3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3</v>
      </c>
    </row>
    <row r="900">
      <c r="A900" s="3">
        <f>"WKY14"</f>
        <v/>
      </c>
      <c r="B900" s="3" t="inlineStr">
        <is>
          <t>R B Whisky Red 750ml</t>
        </is>
      </c>
      <c r="C900" s="3" t="inlineStr">
        <is>
          <t>WHISKEY</t>
        </is>
      </c>
      <c r="D900" s="3" t="n">
        <v>3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3</v>
      </c>
    </row>
    <row r="901">
      <c r="A901" s="3">
        <f>"WKY15"</f>
        <v/>
      </c>
      <c r="B901" s="3" t="inlineStr">
        <is>
          <t>R B Whisky Blue 750ml</t>
        </is>
      </c>
      <c r="C901" s="3" t="inlineStr">
        <is>
          <t>WHISKEY</t>
        </is>
      </c>
      <c r="D901" s="3" t="n">
        <v>2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2</v>
      </c>
    </row>
    <row r="902">
      <c r="A902" s="3">
        <f>"WKY16"</f>
        <v/>
      </c>
      <c r="B902" s="3" t="inlineStr">
        <is>
          <t>R B Special Edition 750ml</t>
        </is>
      </c>
      <c r="C902" s="3" t="inlineStr">
        <is>
          <t>WHISKEY</t>
        </is>
      </c>
      <c r="D902" s="3" t="n">
        <v>1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1</v>
      </c>
    </row>
    <row r="903">
      <c r="A903" s="3">
        <f>"WKY17"</f>
        <v/>
      </c>
      <c r="B903" s="3" t="inlineStr">
        <is>
          <t>WAW Whisky</t>
        </is>
      </c>
      <c r="C903" s="3" t="inlineStr">
        <is>
          <t>WHISKEY</t>
        </is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</row>
    <row r="904">
      <c r="A904" s="3">
        <f>"WKY18"</f>
        <v/>
      </c>
      <c r="B904" s="3" t="inlineStr">
        <is>
          <t>R B Whisky Green 350ml</t>
        </is>
      </c>
      <c r="C904" s="3" t="inlineStr">
        <is>
          <t>WHISKEY</t>
        </is>
      </c>
      <c r="D904" s="3" t="n">
        <v>9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49</v>
      </c>
    </row>
    <row r="905">
      <c r="A905" s="3">
        <f>"WKY19"</f>
        <v/>
      </c>
      <c r="B905" s="3" t="inlineStr">
        <is>
          <t>R B Whisky Red 350ml</t>
        </is>
      </c>
      <c r="C905" s="3" t="inlineStr">
        <is>
          <t>WHISKEY</t>
        </is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</row>
    <row r="906">
      <c r="A906" s="3">
        <f>"WKY20"</f>
        <v/>
      </c>
      <c r="B906" s="3" t="inlineStr">
        <is>
          <t>Black Jack Cola 275ml</t>
        </is>
      </c>
      <c r="C906" s="3" t="inlineStr">
        <is>
          <t>WHISKEY</t>
        </is>
      </c>
      <c r="D906" s="3" t="n">
        <v>12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12</v>
      </c>
    </row>
    <row r="907">
      <c r="A907" s="3">
        <f>"WKY21"</f>
        <v/>
      </c>
      <c r="B907" s="3" t="inlineStr">
        <is>
          <t>Bells Whisky 700ml</t>
        </is>
      </c>
      <c r="C907" s="3" t="inlineStr">
        <is>
          <t>WHISKEY</t>
        </is>
      </c>
      <c r="D907" s="3" t="n">
        <v>3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3</v>
      </c>
    </row>
    <row r="908">
      <c r="A908" s="3">
        <f>"WKY22"</f>
        <v/>
      </c>
      <c r="B908" s="3" t="inlineStr">
        <is>
          <t>Batavia 350ml</t>
        </is>
      </c>
      <c r="C908" s="3" t="inlineStr">
        <is>
          <t>WHISKEY</t>
        </is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</row>
    <row r="909">
      <c r="A909" s="3">
        <f>"WKY23"</f>
        <v/>
      </c>
      <c r="B909" s="3" t="inlineStr">
        <is>
          <t>Robinson whisky 350ml</t>
        </is>
      </c>
      <c r="C909" s="3" t="inlineStr">
        <is>
          <t>WHISKEY</t>
        </is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</row>
    <row r="910">
      <c r="A910" s="3">
        <f>"WKY24"</f>
        <v/>
      </c>
      <c r="B910" s="3" t="inlineStr">
        <is>
          <t>Robinson Whisky 680ml</t>
        </is>
      </c>
      <c r="C910" s="3" t="inlineStr">
        <is>
          <t>WHISKEY</t>
        </is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</row>
    <row r="911">
      <c r="A911" s="3">
        <f>"WKY25"</f>
        <v/>
      </c>
      <c r="B911" s="3" t="inlineStr">
        <is>
          <t>Little River</t>
        </is>
      </c>
      <c r="C911" s="3" t="inlineStr">
        <is>
          <t>WHISKEY</t>
        </is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</row>
    <row r="912">
      <c r="A912" s="3">
        <f>"WKY26"</f>
        <v/>
      </c>
      <c r="B912" s="3" t="inlineStr">
        <is>
          <t>MCDonald Whiskey 500ml</t>
        </is>
      </c>
      <c r="C912" s="3" t="inlineStr">
        <is>
          <t>WHISKEY</t>
        </is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12</v>
      </c>
    </row>
    <row r="913">
      <c r="A913" s="3">
        <f>"WKY27"</f>
        <v/>
      </c>
      <c r="B913" s="3" t="inlineStr">
        <is>
          <t>MCDonald Whiskey 1Ltr</t>
        </is>
      </c>
      <c r="C913" s="3" t="inlineStr">
        <is>
          <t>WHISKEY</t>
        </is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</row>
    <row r="914">
      <c r="A914" s="3">
        <f>"WKY28"</f>
        <v/>
      </c>
      <c r="B914" s="3" t="inlineStr">
        <is>
          <t>Mansion House Whisky 350ml</t>
        </is>
      </c>
      <c r="C914" s="3" t="inlineStr">
        <is>
          <t>WHISKEY</t>
        </is>
      </c>
      <c r="D914" s="3" t="n">
        <v>22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22</v>
      </c>
    </row>
    <row r="915">
      <c r="A915" s="3">
        <f>"WKY29"</f>
        <v/>
      </c>
      <c r="B915" s="3" t="inlineStr">
        <is>
          <t>MCDonald Whisky 180ml</t>
        </is>
      </c>
      <c r="C915" s="3" t="inlineStr">
        <is>
          <t>WHISKEY</t>
        </is>
      </c>
      <c r="D915" s="3" t="n">
        <v>4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4</v>
      </c>
    </row>
    <row r="916">
      <c r="A916" s="3">
        <f>"WKY30"</f>
        <v/>
      </c>
      <c r="B916" s="3" t="inlineStr">
        <is>
          <t>Batavia Highball Original 180ml</t>
        </is>
      </c>
      <c r="C916" s="3" t="inlineStr">
        <is>
          <t>WHISKEY</t>
        </is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</row>
    <row r="917">
      <c r="A917" s="3">
        <f>"WKY31"</f>
        <v/>
      </c>
      <c r="B917" s="3" t="inlineStr">
        <is>
          <t>Grand Macnish 700ml</t>
        </is>
      </c>
      <c r="C917" s="3" t="inlineStr">
        <is>
          <t>WHISKEY</t>
        </is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</row>
    <row r="918">
      <c r="A918" s="3">
        <f>"WKY32"</f>
        <v/>
      </c>
      <c r="B918" s="3" t="inlineStr">
        <is>
          <t>Byson Gold 700ml</t>
        </is>
      </c>
      <c r="C918" s="3" t="inlineStr">
        <is>
          <t>WHISKEY</t>
        </is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</row>
    <row r="919">
      <c r="A919" s="3">
        <f>"WKY33"</f>
        <v/>
      </c>
      <c r="B919" s="3" t="inlineStr">
        <is>
          <t>Byson Black 700ml</t>
        </is>
      </c>
      <c r="C919" s="3" t="inlineStr">
        <is>
          <t>WHISKEY</t>
        </is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</row>
    <row r="920">
      <c r="A920" s="3">
        <f>"WKY34"</f>
        <v/>
      </c>
      <c r="B920" s="3" t="inlineStr">
        <is>
          <t>Gilbeys Whisky 350ml</t>
        </is>
      </c>
      <c r="C920" s="3" t="inlineStr">
        <is>
          <t>WHISKEY</t>
        </is>
      </c>
      <c r="D920" s="3" t="n">
        <v>24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23</v>
      </c>
    </row>
    <row r="921">
      <c r="A921" s="3">
        <f>"WKY35"</f>
        <v/>
      </c>
      <c r="B921" s="3" t="inlineStr">
        <is>
          <t>Gilbeys Whisky 700ml</t>
        </is>
      </c>
      <c r="C921" s="3" t="inlineStr">
        <is>
          <t>WHISKEY</t>
        </is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</row>
    <row r="922">
      <c r="A922" s="3">
        <f>"WKY36"</f>
        <v/>
      </c>
      <c r="B922" s="3" t="inlineStr">
        <is>
          <t>Batavia Highball Lemon 180ml</t>
        </is>
      </c>
      <c r="C922" s="3" t="inlineStr">
        <is>
          <t>WHISKEY</t>
        </is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</row>
    <row r="923">
      <c r="A923" s="3">
        <f>"WKY37"</f>
        <v/>
      </c>
      <c r="B923" s="3" t="inlineStr">
        <is>
          <t>Batavia Highball Peach 180ml</t>
        </is>
      </c>
      <c r="C923" s="3" t="inlineStr">
        <is>
          <t>WHISKEY</t>
        </is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</row>
    <row r="924">
      <c r="A924" s="3">
        <f>"WKY38"</f>
        <v/>
      </c>
      <c r="B924" s="3" t="inlineStr">
        <is>
          <t>Omrach Whisky 350ml</t>
        </is>
      </c>
      <c r="C924" s="3" t="inlineStr">
        <is>
          <t>WHISKEY</t>
        </is>
      </c>
      <c r="D924" s="3" t="n">
        <v>3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3</v>
      </c>
    </row>
    <row r="925">
      <c r="A925" s="3">
        <f>"WKY39"</f>
        <v/>
      </c>
      <c r="B925" s="3" t="inlineStr">
        <is>
          <t>Omrach Whisky 700ml</t>
        </is>
      </c>
      <c r="C925" s="3" t="inlineStr">
        <is>
          <t>WHISKEY</t>
        </is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</row>
    <row r="926">
      <c r="A926" s="3">
        <f>"WKY40"</f>
        <v/>
      </c>
      <c r="B926" s="3" t="inlineStr">
        <is>
          <t>Bronson Whisky 750ml</t>
        </is>
      </c>
      <c r="C926" s="3" t="inlineStr">
        <is>
          <t>WHISKEY</t>
        </is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</row>
    <row r="927">
      <c r="A927" s="3">
        <f>"WKY41"</f>
        <v/>
      </c>
      <c r="B927" s="3" t="inlineStr">
        <is>
          <t>Sicario Whisky 750ml</t>
        </is>
      </c>
      <c r="C927" s="3" t="inlineStr">
        <is>
          <t>WHISKEY</t>
        </is>
      </c>
      <c r="D927" s="3" t="n">
        <v>3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3</v>
      </c>
    </row>
    <row r="928">
      <c r="A928" s="3">
        <f>"WKY42"</f>
        <v/>
      </c>
      <c r="B928" s="3" t="inlineStr">
        <is>
          <t>Maze Maze Whisky Blue 700ml</t>
        </is>
      </c>
      <c r="C928" s="3" t="inlineStr">
        <is>
          <t>WHISKEY</t>
        </is>
      </c>
      <c r="D928" s="3" t="n">
        <v>1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1</v>
      </c>
    </row>
    <row r="929">
      <c r="A929" s="3">
        <f>"WKY43"</f>
        <v/>
      </c>
      <c r="B929" s="3" t="inlineStr">
        <is>
          <t>Maze Maze Whisky Gold 700ml</t>
        </is>
      </c>
      <c r="C929" s="3" t="inlineStr">
        <is>
          <t>WHISKEY</t>
        </is>
      </c>
      <c r="D929" s="3" t="n">
        <v>1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1</v>
      </c>
    </row>
    <row r="930">
      <c r="A930" s="3">
        <f>"WKY44"</f>
        <v/>
      </c>
      <c r="B930" s="3" t="inlineStr">
        <is>
          <t>Batavia 180ml</t>
        </is>
      </c>
      <c r="C930" s="3" t="inlineStr">
        <is>
          <t>WHISKEY</t>
        </is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</row>
    <row r="931">
      <c r="A931" s="3">
        <f>"WKY45"</f>
        <v/>
      </c>
      <c r="B931" s="3" t="inlineStr">
        <is>
          <t>Mansion House Whisky 700ml</t>
        </is>
      </c>
      <c r="C931" s="3" t="inlineStr">
        <is>
          <t>WHISKEY</t>
        </is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</row>
    <row r="932">
      <c r="A932" s="3">
        <f>"WKY46"</f>
        <v/>
      </c>
      <c r="B932" s="3" t="inlineStr">
        <is>
          <t>Bells Whisky 200ml</t>
        </is>
      </c>
      <c r="C932" s="3" t="inlineStr">
        <is>
          <t>WHISKEY</t>
        </is>
      </c>
      <c r="D932" s="3" t="n">
        <v>3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3</v>
      </c>
    </row>
    <row r="933">
      <c r="A933" s="3">
        <f>"WKY47"</f>
        <v/>
      </c>
      <c r="B933" s="3" t="inlineStr">
        <is>
          <t>Batavia Black 700ml</t>
        </is>
      </c>
      <c r="C933" s="3" t="inlineStr">
        <is>
          <t>WHISKEY</t>
        </is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</row>
    <row r="934">
      <c r="A934" s="3">
        <f>"WKY48"</f>
        <v/>
      </c>
      <c r="B934" s="3" t="inlineStr">
        <is>
          <t>Prabu Whiskey 700ml</t>
        </is>
      </c>
      <c r="C934" s="3" t="inlineStr">
        <is>
          <t>WHISKEY</t>
        </is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</row>
    <row r="935">
      <c r="A935" s="3">
        <f>"WKY49"</f>
        <v/>
      </c>
      <c r="B935" s="3" t="inlineStr">
        <is>
          <t>Black Jack Whiskey 700ml</t>
        </is>
      </c>
      <c r="C935" s="3" t="inlineStr">
        <is>
          <t>WHISKEY</t>
        </is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</row>
    <row r="936">
      <c r="A936" s="3">
        <f>"WKY50"</f>
        <v/>
      </c>
      <c r="B936" s="3" t="inlineStr">
        <is>
          <t>Emerald Glends Irish Whiskey 700ml</t>
        </is>
      </c>
      <c r="C936" s="3" t="inlineStr">
        <is>
          <t>WHISKEY</t>
        </is>
      </c>
      <c r="D936" s="3" t="n">
        <v>3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3</v>
      </c>
    </row>
    <row r="937">
      <c r="A937" s="5" t="inlineStr">
        <is>
          <t>TOTAL</t>
        </is>
      </c>
      <c r="B937" s="5" t="n"/>
      <c r="C937" s="5" t="n"/>
      <c r="D937" s="4" t="n">
        <v>3323</v>
      </c>
      <c r="E937" s="4" t="n">
        <v>659</v>
      </c>
      <c r="F937" s="4" t="n">
        <v>0</v>
      </c>
      <c r="G937" s="4" t="n">
        <v>0</v>
      </c>
      <c r="H937" s="4" t="n">
        <v>36</v>
      </c>
      <c r="I937" s="4" t="n">
        <v>0</v>
      </c>
      <c r="J937" s="4" t="n">
        <v>0</v>
      </c>
      <c r="K937" s="4" t="n">
        <v>0</v>
      </c>
      <c r="L937" s="4" t="n">
        <v>3946</v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PT. Sarana Digital Retail</dc:creator>
  <dc:title xmlns:dc="http://purl.org/dc/elements/1.1/">Laporan Stok - Movement Stock L</dc:title>
  <dc:description xmlns:dc="http://purl.org/dc/elements/1.1/">Document for Office 2007 XLSX, generated using PHP classes.</dc:description>
  <dc:subject xmlns:dc="http://purl.org/dc/elements/1.1/">Created on 2026-08-28</dc:subject>
  <dcterms:created xmlns:dcterms="http://purl.org/dc/terms/" xmlns:xsi="http://www.w3.org/2001/XMLSchema-instance" xsi:type="dcterms:W3CDTF">2026-08-28T12:01:44Z</dcterms:created>
  <dcterms:modified xmlns:dcterms="http://purl.org/dc/terms/" xmlns:xsi="http://www.w3.org/2001/XMLSchema-instance" xsi:type="dcterms:W3CDTF">2026-09-03T04:43:40Z</dcterms:modified>
  <cp:lastModifiedBy>pos.dretail.co.id</cp:lastModifiedBy>
  <cp:category>Result file</cp:category>
  <cp:keywords>office 2007 openxml php</cp:keywords>
</cp:coreProperties>
</file>